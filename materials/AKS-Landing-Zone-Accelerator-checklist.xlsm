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aayodeji_microsoft_com/Documents/Documents/Ayo Projects/Enterprise scale/AKS-Landing-Zone-Accelerator/materials/"/>
    </mc:Choice>
  </mc:AlternateContent>
  <xr:revisionPtr revIDLastSave="1154" documentId="8_{612521E6-430D-49C4-8633-FD45A50E5E1E}" xr6:coauthVersionLast="47" xr6:coauthVersionMax="47" xr10:uidLastSave="{D15796C7-28A0-4F72-8929-4B37A422FC92}"/>
  <bookViews>
    <workbookView xWindow="-98" yWindow="-98" windowWidth="24496" windowHeight="15675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Checklist!$A$4:$I$149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Q28" i="7" l="1" a="1"/>
  <c r="Q28" i="7" s="1"/>
  <c r="O28" i="7" l="1" a="1"/>
  <c r="O28" i="7" s="1"/>
  <c r="P28" i="7" a="1"/>
  <c r="P28" i="7" s="1"/>
  <c r="K9" i="7" a="1"/>
  <c r="K9" i="7" s="1"/>
  <c r="I11" i="7" a="1"/>
  <c r="I11" i="7" s="1"/>
  <c r="Q25" i="7" a="1"/>
  <c r="Q25" i="7" s="1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<sst xmlns="http://schemas.openxmlformats.org/spreadsheetml/2006/main" count="203" uniqueCount="120">
  <si>
    <t>Main Area</t>
  </si>
  <si>
    <t>Sub Area</t>
  </si>
  <si>
    <t>Severity</t>
  </si>
  <si>
    <t>Status</t>
  </si>
  <si>
    <t>Comment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</si>
  <si>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</si>
  <si>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</si>
  <si>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</si>
  <si>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</si>
  <si>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</si>
  <si>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</si>
  <si>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</si>
  <si>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</si>
  <si>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</si>
  <si>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</si>
  <si>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</si>
  <si>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</si>
  <si>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</si>
  <si>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</si>
  <si>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Use the "Import latest" button to get the latest version of a review checklist</t>
  </si>
  <si>
    <t>Default title</t>
  </si>
  <si>
    <t>Checklist item</t>
  </si>
  <si>
    <t>Description (optional)</t>
  </si>
  <si>
    <t>Azure AKS Review</t>
  </si>
  <si>
    <t>bc14aea6-e65d-48d9-a3ad-c218e6436b06</t>
  </si>
  <si>
    <t>36cb45e5-7960-4332-9bdf-8cc23318da61</t>
  </si>
  <si>
    <t>170265f4-bb46-4a39-9af7-f317284797b1</t>
  </si>
  <si>
    <t>578a219a-46be-4b54-9350-24922634292b</t>
  </si>
  <si>
    <t>c1288b3c-6a57-4cfc-9444-51e1a3d3453a</t>
  </si>
  <si>
    <t>3c763963-7a55-42d5-a15e-401955387e5c</t>
  </si>
  <si>
    <t>ed127dd1-42b0-46b2-8c69-99a646f3389a</t>
  </si>
  <si>
    <t>7e42c78e-78c0-46a6-8a21-94956e698dc4</t>
  </si>
  <si>
    <t>a2fe27b2-e287-401a-8352-beedf79b488d</t>
  </si>
  <si>
    <t>eec4962c-c3bd-421b-b77f-26e5e6b3bec3</t>
  </si>
  <si>
    <t>d4f3537c-1346-4dc5-9027-a71ffe1bd05d</t>
  </si>
  <si>
    <t>d2e0d5d7-71d4-41e3-910c-c57b4a4b1410</t>
  </si>
  <si>
    <t>a0f61565-9de5-458f-a372-49c831112dbd</t>
  </si>
  <si>
    <t>7faf12e7-0943-4f63-8472-2da29c2b1cd6</t>
  </si>
  <si>
    <t>22f54b29-bade-43aa-b1e8-c38ec9366673</t>
  </si>
  <si>
    <t>13c00567-4b1e-4945-a459-c373e7ed6162</t>
  </si>
  <si>
    <t>43f63047-22d9-429c-8b1c-d622f54b29ba</t>
  </si>
  <si>
    <t>3b365a91-7ecb-4e48-bbe5-4cd7df2e8bba</t>
  </si>
  <si>
    <t>c4581559-bb91-463e-a908-aed8c44ce3b2</t>
  </si>
  <si>
    <t>b3808b9f-a1cf-4204-ad01-3a923ce474db</t>
  </si>
  <si>
    <t>c3c39c98-6bb2-4c12-859a-114b5e3df584</t>
  </si>
  <si>
    <t>ecccd979-3b6b-4cda-9b50-eb2eb03dda6d</t>
  </si>
  <si>
    <t>58d7c892-ddb1-407d-9769-ae669ca48e4a</t>
  </si>
  <si>
    <t>85e2223e-ce8b-4b12-907c-a5f16f158e3e</t>
  </si>
  <si>
    <t>a3a92c2d-e7e2-4165-a3a8-7af4a7a1f893</t>
  </si>
  <si>
    <t>9bda4776-8f24-4c11-9775-c2ea55b46a94</t>
  </si>
  <si>
    <t>8008ae7d-7e4b-4475-a6c8-bdbf59bce65d</t>
  </si>
  <si>
    <t>ba7da7be-9952-4914-a384-5d997cb39132</t>
  </si>
  <si>
    <t>e8a03f97-8794-468d-96a7-86d60f96c97b</t>
  </si>
  <si>
    <t>e9855d04-c3c3-49c9-a6bb-2c12159a114b</t>
  </si>
  <si>
    <t>5e3df584-eccc-4d97-a3b6-bcda3b50eb2e</t>
  </si>
  <si>
    <t>b03dda6d-58d7-4c89-8ddb-107d5769ae66</t>
  </si>
  <si>
    <t>9ca48e4a-85e2-4223-bce8-bb12307ca5f1</t>
  </si>
  <si>
    <t>6f158e3e-a3a9-42c2-be7e-2165c3a87af4</t>
  </si>
  <si>
    <t>a7a1f893-9bda-4477-98f2-4c116775c2ea</t>
  </si>
  <si>
    <t>55b46a94-8008-4ae7-b7e4-b475b6c8bdbf</t>
  </si>
  <si>
    <t>59bce65d-e8a0-43f9-9879-468d66a786d6</t>
  </si>
  <si>
    <t>cc639637-a652-42ac-89e8-06965388e9de</t>
  </si>
  <si>
    <t>d167dd18-2b0a-4c24-8b99-9a646f8389a7</t>
  </si>
  <si>
    <t>f82cb8eb-8c0a-4a63-a25a-4956eaa8dc4a</t>
  </si>
  <si>
    <t>24367b33-6971-45b1-952b-eee0b9b588de</t>
  </si>
  <si>
    <t>9f7547c1-747d-4c56-868a-714435bd19dd</t>
  </si>
  <si>
    <t>24429eb7-2281-4376-85cc-57b4a4b18142</t>
  </si>
  <si>
    <t>83958a8c-2689-4b32-ab57-cfc64546135a</t>
  </si>
  <si>
    <t>337453a3-cc63-4963-9a65-22ac19e80696</t>
  </si>
  <si>
    <t>5388e9de-d167-4dd1-a2b0-ac241b999a64</t>
  </si>
  <si>
    <t>6f8389a7-f82c-4b8e-a8c0-aa63a25a4956</t>
  </si>
  <si>
    <t>eaa8dc4a-2436-47b3-9697-15b1752beee0</t>
  </si>
  <si>
    <t>67f7a9ed-5b31-4f38-a3f3-9812b2463cff</t>
  </si>
  <si>
    <t>e189c599-df0d-45a7-9dd4-ce32c1881370</t>
  </si>
  <si>
    <t>6f7c4c0d-4e51-4464-ad24-57ed67138b82</t>
  </si>
  <si>
    <t>139c9580-ade3-426a-ba09-cf157d9f6477</t>
  </si>
  <si>
    <t>0102ce16-ee30-41e6-b882-e52e4621dd68</t>
  </si>
  <si>
    <t>c5a5b252-1e44-4a59-a9d2-399c4d7b68d0</t>
  </si>
  <si>
    <t>c755562f-2b4e-4456-9b4d-874a748b662e</t>
  </si>
  <si>
    <t>31d7aaab-7571-4449-ab80-53d89e89d17b</t>
  </si>
  <si>
    <t>73b32a5a-67f7-4a9e-b5b3-1f38c3f39812</t>
  </si>
  <si>
    <t>b2463cff-e189-4c59-adf0-d5a73dd4ce32</t>
  </si>
  <si>
    <t>c1881370-6f7c-44c0-b4e5-14648d2457ed</t>
  </si>
  <si>
    <t>67138b82-0102-4ce1-9ee3-01e6e882e52e</t>
  </si>
  <si>
    <t>4621dd68-c5a5-4be2-bdb1-1726769ef669</t>
  </si>
  <si>
    <t>1a4835ac-9422-423e-ae80-b123081a5417</t>
  </si>
  <si>
    <t>415833ea-3ad3-4c2d-b733-165c3acbe04b</t>
  </si>
  <si>
    <t>be209d39-fda4-4777-a424-d116785c2fa5</t>
  </si>
  <si>
    <t>74c2ee76-569b-4a79-a57e-dedf91b022c9</t>
  </si>
  <si>
    <t>5b56ad48-408f-4e72-934c-476ba280dcf5</t>
  </si>
  <si>
    <t>90ce65de-8e13-4f9c-abd4-69266abca264</t>
  </si>
  <si>
    <t>faa19bfe-9d55-4d04-a3c4-919ca1b2d121</t>
  </si>
  <si>
    <t>5ae124ba-34df-4585-bcdc-e9bd3bb0cdb3</t>
  </si>
  <si>
    <t>b54eb2eb-03dd-4aa3-9927-18e2edb11726</t>
  </si>
  <si>
    <t>769ef669-1a48-435a-a942-223ece80b123</t>
  </si>
  <si>
    <t>081a5417-4158-433e-a3ad-3c2de733165c</t>
  </si>
  <si>
    <t>3acbe04b-be20-49d3-afda-47778424d116</t>
  </si>
  <si>
    <t>785c2fa5-5b56-4ad4-a408-fe72734c476b</t>
  </si>
  <si>
    <t>a280dcf5-90ce-465d-b8e1-3f9ccbd46926</t>
  </si>
  <si>
    <t>26886d20-b66c-457b-a591-19bf8e8f5c58</t>
  </si>
  <si>
    <t>未検証</t>
  </si>
  <si>
    <t>開ける</t>
  </si>
  <si>
    <t>達成</t>
  </si>
  <si>
    <t>必須ではありません</t>
  </si>
  <si>
    <t>該当なし</t>
  </si>
  <si>
    <t>BC州とDR</t>
  </si>
  <si>
    <t>高い</t>
  </si>
  <si>
    <t>中程度</t>
  </si>
  <si>
    <t>71d41e36-10ccの-457b-9a4b-1410d4395898</t>
  </si>
  <si>
    <t>低い</t>
  </si>
  <si>
    <t>ID とアクセスの管理</t>
  </si>
  <si>
    <t>ネットワーク トポロジと接続性</t>
  </si>
  <si>
    <t>CBD8AC2A-AEBC-4A2A-94Da-1DBF3DC99248</t>
  </si>
  <si>
    <t>ガバナンスとセキュリティ</t>
  </si>
  <si>
    <t>コストガバナンス</t>
  </si>
  <si>
    <t>オペレーションズ</t>
  </si>
  <si>
    <t>fc4972cc - 3cd2 - 45bf - a707 - 6e9eab4bed32</t>
  </si>
  <si>
    <t>アプリケーションの展開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</si>
  <si>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AKS-LZA Review Checklist</t>
    </r>
  </si>
  <si>
    <t>Instructions: Click AKS in the Radio buttons above, then select your language and click Import latest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</si>
</sst>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rgb="FFFF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3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0" fillId="0" borderId="0" xfId="0"/>
    <xf numFmtId="0" fontId="1" fillId="0" borderId="0" xfId="1" applyAlignment="1">
      <alignment horizontal="left" vertical="top"/>
    </xf>
    <xf numFmtId="0" fontId="0" fillId="0" borderId="0" xfId="0" quotePrefix="1"/>
    <xf numFmtId="0" fontId="3" fillId="0" borderId="0" xfId="0" applyFont="1" applyAlignment="1">
      <alignment horizontal="left"/>
    </xf>
    <xf numFmtId="0" fontId="19" fillId="0" borderId="0" xfId="2" applyFont="1" applyFill="1" applyBorder="1" applyAlignment="1">
      <alignment horizontal="left" vertical="top" wrapText="1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0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高い</c:v>
                </c:pt>
                <c:pt idx="1">
                  <c:v>中程度</c:v>
                </c:pt>
                <c:pt idx="2">
                  <c:v>低い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未検証</c:v>
                </c:pt>
                <c:pt idx="1">
                  <c:v>開ける</c:v>
                </c:pt>
                <c:pt idx="2">
                  <c:v>達成</c:v>
                </c:pt>
                <c:pt idx="3">
                  <c:v>必須ではありません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未検証</c:v>
                </c:pt>
                <c:pt idx="1">
                  <c:v>開ける</c:v>
                </c:pt>
                <c:pt idx="2">
                  <c:v>達成</c:v>
                </c:pt>
                <c:pt idx="3">
                  <c:v>必須ではありません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未検証</c:v>
                </c:pt>
                <c:pt idx="1">
                  <c:v>開ける</c:v>
                </c:pt>
                <c:pt idx="2">
                  <c:v>達成</c:v>
                </c:pt>
                <c:pt idx="3">
                  <c:v>必須ではありません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未検証</c:v>
                </c:pt>
                <c:pt idx="1">
                  <c:v>開ける</c:v>
                </c:pt>
                <c:pt idx="2">
                  <c:v>達成</c:v>
                </c:pt>
                <c:pt idx="3">
                  <c:v>必須ではありません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未検証</c:v>
                </c:pt>
                <c:pt idx="1">
                  <c:v>開ける</c:v>
                </c:pt>
                <c:pt idx="2">
                  <c:v>達成</c:v>
                </c:pt>
                <c:pt idx="3">
                  <c:v>必須ではありません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 とアクセスの管理</c:v>
                </c:pt>
                <c:pt idx="1">
                  <c:v>ネットワーク トポロジと接続性</c:v>
                </c:pt>
                <c:pt idx="2">
                  <c:v>BC州とDR</c:v>
                </c:pt>
                <c:pt idx="3">
                  <c:v>ガバナンスとセキュリティ</c:v>
                </c:pt>
                <c:pt idx="4">
                  <c:v>コストガバナンス</c:v>
                </c:pt>
                <c:pt idx="5">
                  <c:v>オペレーションズ</c:v>
                </c:pt>
                <c:pt idx="6">
                  <c:v>アプリケーションの展開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未検証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 とアクセスの管理</c:v>
                </c:pt>
                <c:pt idx="1">
                  <c:v>ネットワーク トポロジと接続性</c:v>
                </c:pt>
                <c:pt idx="2">
                  <c:v>BC州とDR</c:v>
                </c:pt>
                <c:pt idx="3">
                  <c:v>ガバナンスとセキュリティ</c:v>
                </c:pt>
                <c:pt idx="4">
                  <c:v>コストガバナンス</c:v>
                </c:pt>
                <c:pt idx="5">
                  <c:v>オペレーションズ</c:v>
                </c:pt>
                <c:pt idx="6">
                  <c:v>アプリケーションの展開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開ける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 とアクセスの管理</c:v>
                </c:pt>
                <c:pt idx="1">
                  <c:v>ネットワーク トポロジと接続性</c:v>
                </c:pt>
                <c:pt idx="2">
                  <c:v>BC州とDR</c:v>
                </c:pt>
                <c:pt idx="3">
                  <c:v>ガバナンスとセキュリティ</c:v>
                </c:pt>
                <c:pt idx="4">
                  <c:v>コストガバナンス</c:v>
                </c:pt>
                <c:pt idx="5">
                  <c:v>オペレーションズ</c:v>
                </c:pt>
                <c:pt idx="6">
                  <c:v>アプリケーションの展開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達成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 とアクセスの管理</c:v>
                </c:pt>
                <c:pt idx="1">
                  <c:v>ネットワーク トポロジと接続性</c:v>
                </c:pt>
                <c:pt idx="2">
                  <c:v>BC州とDR</c:v>
                </c:pt>
                <c:pt idx="3">
                  <c:v>ガバナンスとセキュリティ</c:v>
                </c:pt>
                <c:pt idx="4">
                  <c:v>コストガバナンス</c:v>
                </c:pt>
                <c:pt idx="5">
                  <c:v>オペレーションズ</c:v>
                </c:pt>
                <c:pt idx="6">
                  <c:v>アプリケーションの展開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必須ではありません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 とアクセスの管理</c:v>
                </c:pt>
                <c:pt idx="1">
                  <c:v>ネットワーク トポロジと接続性</c:v>
                </c:pt>
                <c:pt idx="2">
                  <c:v>BC州とDR</c:v>
                </c:pt>
                <c:pt idx="3">
                  <c:v>ガバナンスとセキュリティ</c:v>
                </c:pt>
                <c:pt idx="4">
                  <c:v>コストガバナンス</c:v>
                </c:pt>
                <c:pt idx="5">
                  <c:v>オペレーションズ</c:v>
                </c:pt>
                <c:pt idx="6">
                  <c:v>アプリケーションの展開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 とアクセスの管理</c:v>
                </c:pt>
                <c:pt idx="1">
                  <c:v>ネットワーク トポロジと接続性</c:v>
                </c:pt>
                <c:pt idx="2">
                  <c:v>BC州とDR</c:v>
                </c:pt>
                <c:pt idx="3">
                  <c:v>ガバナンスとセキュリティ</c:v>
                </c:pt>
                <c:pt idx="4">
                  <c:v>コストガバナンス</c:v>
                </c:pt>
                <c:pt idx="5">
                  <c:v>オペレーションズ</c:v>
                </c:pt>
                <c:pt idx="6">
                  <c:v>アプリケーションの展開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2276475</xdr:colOff>
          <xdr:row>0</xdr:row>
          <xdr:rowOff>619125</xdr:rowOff>
        </xdr:from>
        <xdr:to>
          <xdr:col>6</xdr:col>
          <xdr:colOff>209550</xdr:colOff>
          <xdr:row>0</xdr:row>
          <xdr:rowOff>876300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2257425</xdr:colOff>
          <xdr:row>0</xdr:row>
          <xdr:rowOff>295275</xdr:rowOff>
        </xdr:from>
        <xdr:to>
          <xdr:col>6</xdr:col>
          <xdr:colOff>228600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5781675</xdr:colOff>
          <xdr:row>0</xdr:row>
          <xdr:rowOff>266700</xdr:rowOff>
        </xdr:from>
        <xdr:to>
          <xdr:col>2</xdr:col>
          <xdr:colOff>6686550</xdr:colOff>
          <xdr:row>0</xdr:row>
          <xdr:rowOff>495300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2019300</xdr:colOff>
          <xdr:row>0</xdr:row>
          <xdr:rowOff>180975</xdr:rowOff>
        </xdr:from>
        <xdr:to>
          <xdr:col>6</xdr:col>
          <xdr:colOff>676275</xdr:colOff>
          <xdr:row>0</xdr:row>
          <xdr:rowOff>1314450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3</xdr:col>
          <xdr:colOff>1657350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247650</xdr:rowOff>
        </xdr:from>
        <xdr:to>
          <xdr:col>3</xdr:col>
          <xdr:colOff>1485900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323850</xdr:rowOff>
        </xdr:from>
        <xdr:to>
          <xdr:col>3</xdr:col>
          <xdr:colOff>971550</xdr:colOff>
          <xdr:row>0</xdr:row>
          <xdr:rowOff>552450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514350</xdr:rowOff>
        </xdr:from>
        <xdr:to>
          <xdr:col>3</xdr:col>
          <xdr:colOff>1304925</xdr:colOff>
          <xdr:row>0</xdr:row>
          <xdr:rowOff>666750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547688</xdr:rowOff>
        </xdr:from>
        <xdr:to>
          <xdr:col>3</xdr:col>
          <xdr:colOff>371475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619125</xdr:rowOff>
        </xdr:from>
        <xdr:to>
          <xdr:col>3</xdr:col>
          <xdr:colOff>476250</xdr:colOff>
          <xdr:row>0</xdr:row>
          <xdr:rowOff>833438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752475</xdr:rowOff>
        </xdr:from>
        <xdr:to>
          <xdr:col>3</xdr:col>
          <xdr:colOff>485775</xdr:colOff>
          <xdr:row>0</xdr:row>
          <xdr:rowOff>981075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647700</xdr:rowOff>
        </xdr:from>
        <xdr:to>
          <xdr:col>3</xdr:col>
          <xdr:colOff>981075</xdr:colOff>
          <xdr:row>0</xdr:row>
          <xdr:rowOff>857250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890588</xdr:rowOff>
        </xdr:from>
        <xdr:to>
          <xdr:col>3</xdr:col>
          <xdr:colOff>561975</xdr:colOff>
          <xdr:row>0</xdr:row>
          <xdr:rowOff>1085850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2266950</xdr:colOff>
          <xdr:row>0</xdr:row>
          <xdr:rowOff>952500</xdr:rowOff>
        </xdr:from>
        <xdr:to>
          <xdr:col>6</xdr:col>
          <xdr:colOff>209550</xdr:colOff>
          <xdr:row>0</xdr:row>
          <xdr:rowOff>1190625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771525</xdr:rowOff>
        </xdr:from>
        <xdr:to>
          <xdr:col>3</xdr:col>
          <xdr:colOff>1238250</xdr:colOff>
          <xdr:row>0</xdr:row>
          <xdr:rowOff>1038225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Portuguese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952500</xdr:rowOff>
        </xdr:from>
        <xdr:to>
          <xdr:col>3</xdr:col>
          <xdr:colOff>981075</xdr:colOff>
          <xdr:row>0</xdr:row>
          <xdr:rowOff>1162050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1038225</xdr:rowOff>
        </xdr:from>
        <xdr:to>
          <xdr:col>3</xdr:col>
          <xdr:colOff>561975</xdr:colOff>
          <xdr:row>0</xdr:row>
          <xdr:rowOff>1228725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Security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ocs.microsoft.com/azure/aks/operator-best-practices-network" TargetMode="External"/><Relationship Id="rId21" Type="http://schemas.openxmlformats.org/officeDocument/2006/relationships/hyperlink" Target="https://docs.microsoft.com/azure/aks/concepts-network" TargetMode="External"/><Relationship Id="rId42" Type="http://schemas.openxmlformats.org/officeDocument/2006/relationships/hyperlink" Target="https://docs.microsoft.com/azure/cloud-adoption-framework/scenarios/aks/eslz-cost-governance-with-kubecost" TargetMode="External"/><Relationship Id="rId47" Type="http://schemas.openxmlformats.org/officeDocument/2006/relationships/hyperlink" Target="https://docs.microsoft.com/azure/aks/availability-zones" TargetMode="External"/><Relationship Id="rId63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68" Type="http://schemas.openxmlformats.org/officeDocument/2006/relationships/hyperlink" Target="https://docs.microsoft.com/azure/aks/aks-resource-health" TargetMode="External"/><Relationship Id="rId84" Type="http://schemas.openxmlformats.org/officeDocument/2006/relationships/ctrlProp" Target="../ctrlProps/ctrlProp2.xml"/><Relationship Id="rId89" Type="http://schemas.openxmlformats.org/officeDocument/2006/relationships/ctrlProp" Target="../ctrlProps/ctrlProp7.xml"/><Relationship Id="rId16" Type="http://schemas.openxmlformats.org/officeDocument/2006/relationships/hyperlink" Target="https://docs.microsoft.com/azure/aks/configure-azure-cni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servicemesh-about" TargetMode="External"/><Relationship Id="rId37" Type="http://schemas.openxmlformats.org/officeDocument/2006/relationships/hyperlink" Target="https://docs.microsoft.com/azure/aks/use-system-pools" TargetMode="External"/><Relationship Id="rId53" Type="http://schemas.openxmlformats.org/officeDocument/2006/relationships/hyperlink" Target="https://docs.microsoft.com/azure/aks/supported-kubernetes-versions" TargetMode="External"/><Relationship Id="rId58" Type="http://schemas.openxmlformats.org/officeDocument/2006/relationships/hyperlink" Target="https://docs.microsoft.com/azure/aks/concepts-scale" TargetMode="External"/><Relationship Id="rId74" Type="http://schemas.openxmlformats.org/officeDocument/2006/relationships/hyperlink" Target="https://docs.microsoft.com/azure/aks/operator-best-practices-scheduler" TargetMode="External"/><Relationship Id="rId79" Type="http://schemas.openxmlformats.org/officeDocument/2006/relationships/hyperlink" Target="https://dapr.io/" TargetMode="External"/><Relationship Id="rId5" Type="http://schemas.openxmlformats.org/officeDocument/2006/relationships/hyperlink" Target="https://docs.microsoft.com/azure/aks/uptime-sla" TargetMode="External"/><Relationship Id="rId90" Type="http://schemas.openxmlformats.org/officeDocument/2006/relationships/ctrlProp" Target="../ctrlProps/ctrlProp8.xml"/><Relationship Id="rId95" Type="http://schemas.openxmlformats.org/officeDocument/2006/relationships/ctrlProp" Target="../ctrlProps/ctrlProp13.xml"/><Relationship Id="rId22" Type="http://schemas.openxmlformats.org/officeDocument/2006/relationships/hyperlink" Target="https://azure.github.io/application-gateway-kubernetes-ingress/setup/install-existing/" TargetMode="External"/><Relationship Id="rId27" Type="http://schemas.openxmlformats.org/officeDocument/2006/relationships/hyperlink" Target="https://docs.microsoft.com/azure/aks/operator-best-practices-network" TargetMode="External"/><Relationship Id="rId43" Type="http://schemas.openxmlformats.org/officeDocument/2006/relationships/hyperlink" Target="https://docs.microsoft.com/azure/aks/cluster-configuration" TargetMode="External"/><Relationship Id="rId48" Type="http://schemas.openxmlformats.org/officeDocument/2006/relationships/hyperlink" Target="https://docs.microsoft.com/azure/advisor/advisor-get-started" TargetMode="External"/><Relationship Id="rId64" Type="http://schemas.openxmlformats.org/officeDocument/2006/relationships/hyperlink" Target="https://docs.microsoft.com/azure/azure-monitor/containers/container-insights-analyze" TargetMode="External"/><Relationship Id="rId69" Type="http://schemas.openxmlformats.org/officeDocument/2006/relationships/hyperlink" Target="https://docs.microsoft.com/azure/aks/monitor-aks" TargetMode="External"/><Relationship Id="rId80" Type="http://schemas.openxmlformats.org/officeDocument/2006/relationships/printerSettings" Target="../printerSettings/printerSettings2.bin"/><Relationship Id="rId85" Type="http://schemas.openxmlformats.org/officeDocument/2006/relationships/ctrlProp" Target="../ctrlProps/ctrlProp3.xml"/><Relationship Id="rId3" Type="http://schemas.openxmlformats.org/officeDocument/2006/relationships/hyperlink" Target="https://docs.microsoft.com/azure/aks/operator-best-practices-multi-region" TargetMode="External"/><Relationship Id="rId12" Type="http://schemas.openxmlformats.org/officeDocument/2006/relationships/hyperlink" Target="https://docs.microsoft.com/azure/aks/operator-best-practices-identity" TargetMode="External"/><Relationship Id="rId17" Type="http://schemas.openxmlformats.org/officeDocument/2006/relationships/hyperlink" Target="https://docs.microsoft.com/azure/aks/internal-lb" TargetMode="External"/><Relationship Id="rId25" Type="http://schemas.openxmlformats.org/officeDocument/2006/relationships/hyperlink" Target="https://docs.microsoft.com/azure/aks/use-network-policies" TargetMode="External"/><Relationship Id="rId33" Type="http://schemas.openxmlformats.org/officeDocument/2006/relationships/hyperlink" Target="https://github.com/Azure/secrets-store-csi-driver-provider-azure" TargetMode="External"/><Relationship Id="rId38" Type="http://schemas.openxmlformats.org/officeDocument/2006/relationships/hyperlink" Target="https://docs.microsoft.com/azure/container-registry/" TargetMode="External"/><Relationship Id="rId46" Type="http://schemas.openxmlformats.org/officeDocument/2006/relationships/hyperlink" Target="https://docs.microsoft.com/azure/aks/operator-best-practices-storage" TargetMode="External"/><Relationship Id="rId59" Type="http://schemas.openxmlformats.org/officeDocument/2006/relationships/hyperlink" Target="https://docs.microsoft.com/azure/aks/faq" TargetMode="External"/><Relationship Id="rId67" Type="http://schemas.openxmlformats.org/officeDocument/2006/relationships/hyperlink" Target="https://docs.microsoft.com/azure/aks/load-balancer-standard" TargetMode="External"/><Relationship Id="rId20" Type="http://schemas.openxmlformats.org/officeDocument/2006/relationships/hyperlink" Target="https://docs.microsoft.com/azure/aks/api-server-authorized-ip-ranges" TargetMode="External"/><Relationship Id="rId41" Type="http://schemas.openxmlformats.org/officeDocument/2006/relationships/hyperlink" Target="https://docs.microsoft.com/azure/aks/operator-best-practices-cluster-isolation" TargetMode="External"/><Relationship Id="rId54" Type="http://schemas.openxmlformats.org/officeDocument/2006/relationships/hyperlink" Target="https://docs.microsoft.com/azure/aks/node-updates-kured" TargetMode="External"/><Relationship Id="rId62" Type="http://schemas.openxmlformats.org/officeDocument/2006/relationships/hyperlink" Target="https://docs.microsoft.com/azure-stack/aks-hci/adapt-apps-mixed-os-clusters" TargetMode="External"/><Relationship Id="rId70" Type="http://schemas.openxmlformats.org/officeDocument/2006/relationships/hyperlink" Target="https://docs.microsoft.com/azure/aks/concepts-scale" TargetMode="External"/><Relationship Id="rId75" Type="http://schemas.openxmlformats.org/officeDocument/2006/relationships/hyperlink" Target="https://docs.microsoft.com/azure/azure-resource-manager/management/azure-subscription-service-limits" TargetMode="External"/><Relationship Id="rId83" Type="http://schemas.openxmlformats.org/officeDocument/2006/relationships/ctrlProp" Target="../ctrlProps/ctrlProp1.xml"/><Relationship Id="rId88" Type="http://schemas.openxmlformats.org/officeDocument/2006/relationships/ctrlProp" Target="../ctrlProps/ctrlProp6.xml"/><Relationship Id="rId91" Type="http://schemas.openxmlformats.org/officeDocument/2006/relationships/ctrlProp" Target="../ctrlProps/ctrlProp9.xml"/><Relationship Id="rId96" Type="http://schemas.openxmlformats.org/officeDocument/2006/relationships/ctrlProp" Target="../ctrlProps/ctrlProp14.xm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6" Type="http://schemas.openxmlformats.org/officeDocument/2006/relationships/hyperlink" Target="https://docs.microsoft.com/azure/aks/operator-best-practices-scheduler" TargetMode="External"/><Relationship Id="rId15" Type="http://schemas.openxmlformats.org/officeDocument/2006/relationships/hyperlink" Target="https://docs.microsoft.com/azure/aks/configure-azure-cni" TargetMode="External"/><Relationship Id="rId23" Type="http://schemas.openxmlformats.org/officeDocument/2006/relationships/hyperlink" Target="https://docs.microsoft.com/azure/private-link/private-link-overview" TargetMode="External"/><Relationship Id="rId28" Type="http://schemas.openxmlformats.org/officeDocument/2006/relationships/hyperlink" Target="https://docs.microsoft.com/azure/virtual-network/ddos-protection-overview" TargetMode="External"/><Relationship Id="rId36" Type="http://schemas.openxmlformats.org/officeDocument/2006/relationships/hyperlink" Target="https://docs.microsoft.com/azure/aks/use-system-pools" TargetMode="External"/><Relationship Id="rId49" Type="http://schemas.openxmlformats.org/officeDocument/2006/relationships/hyperlink" Target="https://docs.microsoft.com/azure/aks/operator-best-practices-scheduler" TargetMode="External"/><Relationship Id="rId57" Type="http://schemas.openxmlformats.org/officeDocument/2006/relationships/hyperlink" Target="https://docs.microsoft.com/azure/aks/spot-node-pool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docs.microsoft.com/azure/expressroute/designing-for-disaster-recovery-with-expressroute-privatepeering" TargetMode="External"/><Relationship Id="rId44" Type="http://schemas.openxmlformats.org/officeDocument/2006/relationships/hyperlink" Target="https://docs.microsoft.com/azure/virtual-machines/disks-types" TargetMode="External"/><Relationship Id="rId52" Type="http://schemas.openxmlformats.org/officeDocument/2006/relationships/hyperlink" Target="https://docs.microsoft.com/azure/azure-monitor/insights/container-insights-metric-alerts" TargetMode="External"/><Relationship Id="rId60" Type="http://schemas.openxmlformats.org/officeDocument/2006/relationships/hyperlink" Target="https://docs.microsoft.com/azure/aks/cluster-configuration" TargetMode="External"/><Relationship Id="rId65" Type="http://schemas.openxmlformats.org/officeDocument/2006/relationships/hyperlink" Target="https://docs.microsoft.com/azure/aks/configure-azure-cni" TargetMode="External"/><Relationship Id="rId73" Type="http://schemas.openxmlformats.org/officeDocument/2006/relationships/hyperlink" Target="https://docs.microsoft.com/azure/aks/operator-best-practices-scheduler" TargetMode="External"/><Relationship Id="rId78" Type="http://schemas.openxmlformats.org/officeDocument/2006/relationships/hyperlink" Target="https://docs.microsoft.com/azure/azure-functions/functions-kubernetes-keda" TargetMode="External"/><Relationship Id="rId81" Type="http://schemas.openxmlformats.org/officeDocument/2006/relationships/drawing" Target="../drawings/drawing2.xml"/><Relationship Id="rId86" Type="http://schemas.openxmlformats.org/officeDocument/2006/relationships/ctrlProp" Target="../ctrlProps/ctrlProp4.xml"/><Relationship Id="rId94" Type="http://schemas.openxmlformats.org/officeDocument/2006/relationships/ctrlProp" Target="../ctrlProps/ctrlProp12.xml"/><Relationship Id="rId99" Type="http://schemas.openxmlformats.org/officeDocument/2006/relationships/ctrlProp" Target="../ctrlProps/ctrlProp17.xm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3" Type="http://schemas.openxmlformats.org/officeDocument/2006/relationships/hyperlink" Target="https://docs.microsoft.com/azure/aks/operator-best-practices-identity" TargetMode="External"/><Relationship Id="rId18" Type="http://schemas.openxmlformats.org/officeDocument/2006/relationships/hyperlink" Target="https://docs.microsoft.com/azure/aks/configure-azure-cni" TargetMode="External"/><Relationship Id="rId39" Type="http://schemas.openxmlformats.org/officeDocument/2006/relationships/hyperlink" Target="https://docs.microsoft.com/azure/security-center/container-security" TargetMode="External"/><Relationship Id="rId34" Type="http://schemas.openxmlformats.org/officeDocument/2006/relationships/hyperlink" Target="https://docs.microsoft.com/azure/aks/update-credentials" TargetMode="External"/><Relationship Id="rId50" Type="http://schemas.openxmlformats.org/officeDocument/2006/relationships/hyperlink" Target="https://docs.microsoft.com/azure/azure-monitor/insights/container-insights-overview" TargetMode="External"/><Relationship Id="rId55" Type="http://schemas.openxmlformats.org/officeDocument/2006/relationships/hyperlink" Target="https://docs.microsoft.com/azure/aks/node-image-upgrade" TargetMode="External"/><Relationship Id="rId76" Type="http://schemas.openxmlformats.org/officeDocument/2006/relationships/hyperlink" Target="https://docs.microsoft.com/azure/developer/terraform/create-k8s-cluster-with-tf-and-aks" TargetMode="External"/><Relationship Id="rId97" Type="http://schemas.openxmlformats.org/officeDocument/2006/relationships/ctrlProp" Target="../ctrlProps/ctrlProp15.xml"/><Relationship Id="rId7" Type="http://schemas.openxmlformats.org/officeDocument/2006/relationships/hyperlink" Target="https://docs.microsoft.com/azure/container-registry/container-registry-geo-replication" TargetMode="External"/><Relationship Id="rId71" Type="http://schemas.openxmlformats.org/officeDocument/2006/relationships/hyperlink" Target="https://docs.microsoft.com/azure/aks/concepts-scale" TargetMode="External"/><Relationship Id="rId92" Type="http://schemas.openxmlformats.org/officeDocument/2006/relationships/ctrlProp" Target="../ctrlProps/ctrlProp10.xm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aks/http-application-routing" TargetMode="External"/><Relationship Id="rId24" Type="http://schemas.openxmlformats.org/officeDocument/2006/relationships/hyperlink" Target="https://docs.microsoft.com/azure/aks/private-clusters" TargetMode="External"/><Relationship Id="rId40" Type="http://schemas.openxmlformats.org/officeDocument/2006/relationships/hyperlink" Target="https://docs.microsoft.com/azure/security-center/container-security" TargetMode="External"/><Relationship Id="rId45" Type="http://schemas.openxmlformats.org/officeDocument/2006/relationships/hyperlink" Target="https://docs.microsoft.com/azure/aks/operator-best-practices-multi-region" TargetMode="External"/><Relationship Id="rId66" Type="http://schemas.openxmlformats.org/officeDocument/2006/relationships/hyperlink" Target="https://docs.microsoft.com/azure/virtual-machines/premium-storage-performance" TargetMode="External"/><Relationship Id="rId87" Type="http://schemas.openxmlformats.org/officeDocument/2006/relationships/ctrlProp" Target="../ctrlProps/ctrlProp5.xml"/><Relationship Id="rId61" Type="http://schemas.openxmlformats.org/officeDocument/2006/relationships/hyperlink" Target="https://kubernetes.io/docs/setup/release/notes/" TargetMode="External"/><Relationship Id="rId82" Type="http://schemas.openxmlformats.org/officeDocument/2006/relationships/vmlDrawing" Target="../drawings/vmlDrawing1.vml"/><Relationship Id="rId19" Type="http://schemas.openxmlformats.org/officeDocument/2006/relationships/hyperlink" Target="https://docs.microsoft.com/azure/aks/limit-egress-traffic" TargetMode="External"/><Relationship Id="rId14" Type="http://schemas.openxmlformats.org/officeDocument/2006/relationships/hyperlink" Target="https://docs.microsoft.com/azure/aks/operator-best-practices-network" TargetMode="External"/><Relationship Id="rId30" Type="http://schemas.openxmlformats.org/officeDocument/2006/relationships/hyperlink" Target="https://docs.microsoft.com/azure/aks/load-balancer-standard" TargetMode="External"/><Relationship Id="rId35" Type="http://schemas.openxmlformats.org/officeDocument/2006/relationships/hyperlink" Target="https://docs.microsoft.com/azure/governance/policy/concepts/policy-for-kubernetes" TargetMode="External"/><Relationship Id="rId56" Type="http://schemas.openxmlformats.org/officeDocument/2006/relationships/hyperlink" Target="https://docs.microsoft.com/azure/architecture/example-scenario/bedrock/bedrock-automated-deployments" TargetMode="External"/><Relationship Id="rId77" Type="http://schemas.openxmlformats.org/officeDocument/2006/relationships/hyperlink" Target="https://docs.microsoft.com/azure/architecture/reference-architectures/containers/aks/secure-baseline-aks" TargetMode="External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zure-monitor/insights/container-insights-overview" TargetMode="External"/><Relationship Id="rId72" Type="http://schemas.openxmlformats.org/officeDocument/2006/relationships/hyperlink" Target="https://blog.cloudtrooper.net/2020/10/23/which-vm-size-should-i-choose-as-aks-node/" TargetMode="External"/><Relationship Id="rId93" Type="http://schemas.openxmlformats.org/officeDocument/2006/relationships/ctrlProp" Target="../ctrlProps/ctrlProp11.xml"/><Relationship Id="rId98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D2" sqref="D2"/>
    </sheetView>
  </sheetViews>
  <sheetFormatPr defaultRowHeight="14.25" x14ac:dyDescent="0.45"/>
  <cols>
    <col min="1" max="1" width="28.265625" customWidth="1"/>
    <col min="4" max="4" width="15" customWidth="1"/>
    <col min="5" max="5" width="12.86328125" customWidth="1"/>
  </cols>
  <sheetData>
    <row r="1" spans="1:13" ht="36" x14ac:dyDescent="0.45">
      <c r="D1" s="25" t="s">
        <v>17</v>
      </c>
      <c r="E1" s="25" t="s">
        <v>18</v>
      </c>
    </row>
    <row r="2" spans="1:13" ht="30.75" x14ac:dyDescent="0.9">
      <c r="A2" s="15" t="s">
        <v>6</v>
      </c>
      <c r="D2" s="24">
        <f>IF($R$29=0,0,1-$O$29/$R$29)</f>
        <v>0</v>
      </c>
      <c r="E2" s="24">
        <f>IF(R29=0,0,P29/R29)</f>
        <v>0</v>
      </c>
    </row>
    <row r="5" spans="1:13" x14ac:dyDescent="0.45">
      <c r="B5" s="14" t="str">
        <f>Values!$B$2</f>
        <v>未検証</v>
      </c>
      <c r="C5" s="14" t="str">
        <f>Values!$B$3</f>
        <v>開ける</v>
      </c>
      <c r="D5" s="14" t="str">
        <f>Values!$B$4</f>
        <v>達成</v>
      </c>
      <c r="E5" s="14" t="str">
        <f>Values!$B$5</f>
        <v>必須ではありません</v>
      </c>
      <c r="I5" s="14" t="str">
        <f>Values!$B$2</f>
        <v>未検証</v>
      </c>
      <c r="J5" s="14" t="str">
        <f>Values!$B$3</f>
        <v>開ける</v>
      </c>
      <c r="K5" s="14" t="str">
        <f>Values!$B$4</f>
        <v>達成</v>
      </c>
      <c r="L5" s="14" t="str">
        <f>Values!$B$5</f>
        <v>必須ではありません</v>
      </c>
      <c r="M5" s="14" t="s">
        <v>8</v>
      </c>
    </row>
    <row r="6" spans="1:13" x14ac:dyDescent="0.45">
      <c r="A6" s="14" t="str">
        <f>Values!A2</f>
        <v>高い</v>
      </c>
      <c r="B6" cm="1">
        <f t="array" ref="B6">SUMPRODUCT(--(Checklist!$E$5:$H$483=$A6)*--(Checklist!$F$5:$F$483=B$5))</f>
        <v>0</v>
      </c>
      <c r="C6" cm="1">
        <f t="array" ref="C6">SUMPRODUCT(--(Checklist!$E$5:$H$483=$A6)*--(Checklist!$F$5:$F$483=C$5))</f>
        <v>0</v>
      </c>
      <c r="D6" cm="1">
        <f t="array" ref="D6">SUMPRODUCT(--(Checklist!$E$5:$H$483=$A6)*--(Checklist!$F$5:$F$483=D$5))</f>
        <v>0</v>
      </c>
      <c r="E6" cm="1">
        <f t="array" ref="E6">SUMPRODUCT(--(Checklist!$E$5:$H$483=$A6)*--(Checklist!$F$5:$F$483=E$5))</f>
        <v>0</v>
      </c>
      <c r="F6">
        <f>SUM(B6:E6)</f>
        <v>0</v>
      </c>
      <c r="H6" s="14" t="str">
        <f>IF(Values!$C2="","",Values!$C2)</f>
        <v>ID とアクセスの管理</v>
      </c>
      <c r="I6" cm="1">
        <f t="array" ref="I6">IF($H6="","",SUMPRODUCT(--(Checklist!$A$5:$A$483=$H6)*--(Checklist!$F$5:$F$483=I$5)))</f>
        <v>0</v>
      </c>
      <c r="J6" cm="1">
        <f t="array" ref="J6">IF($H6="","",SUMPRODUCT(--(Checklist!$A$5:$A$483=$H6)*--(Checklist!$F$5:$F$483=J$5)))</f>
        <v>0</v>
      </c>
      <c r="K6" cm="1">
        <f t="array" ref="K6">IF($H6="","",SUMPRODUCT(--(Checklist!$A$5:$A$483=$H6)*--(Checklist!$F$5:$F$483=K$5)))</f>
        <v>0</v>
      </c>
      <c r="L6" cm="1">
        <f t="array" ref="L6">IF($H6="","",SUMPRODUCT(--(Checklist!$A$5:$A$483=$H6)*--(Checklist!$F$5:$F$483=L$5)))</f>
        <v>0</v>
      </c>
      <c r="M6">
        <f>IF($H6="","",SUM(I6:L6))</f>
        <v>0</v>
      </c>
    </row>
    <row r="7" spans="1:13" x14ac:dyDescent="0.45">
      <c r="A7" s="14" t="str">
        <f>Values!A3</f>
        <v>中程度</v>
      </c>
      <c r="B7" cm="1">
        <f t="array" ref="B7">SUMPRODUCT(--(Checklist!$E$5:$H$483=$A7)*--(Checklist!$F$5:$F$483=B$5))</f>
        <v>0</v>
      </c>
      <c r="C7" cm="1">
        <f t="array" ref="C7">SUMPRODUCT(--(Checklist!$E$5:$H$483=$A7)*--(Checklist!$F$5:$F$483=C$5))</f>
        <v>0</v>
      </c>
      <c r="D7" cm="1">
        <f t="array" ref="D7">SUMPRODUCT(--(Checklist!$E$5:$H$483=$A7)*--(Checklist!$F$5:$F$483=D$5))</f>
        <v>0</v>
      </c>
      <c r="E7" cm="1">
        <f t="array" ref="E7">SUMPRODUCT(--(Checklist!$E$5:$H$483=$A7)*--(Checklist!$F$5:$F$483=E$5))</f>
        <v>0</v>
      </c>
      <c r="F7">
        <f>SUM(B7:E7)</f>
        <v>0</v>
      </c>
      <c r="H7" s="14" t="str">
        <f>IF(Values!$C3="","",Values!$C3)</f>
        <v>ネットワーク トポロジと接続性</v>
      </c>
      <c r="I7" cm="1">
        <f t="array" ref="I7">IF($H7="","",SUMPRODUCT(--(Checklist!$A$5:$A$483=$H7)*--(Checklist!$F$5:$F$483=I$5)))</f>
        <v>0</v>
      </c>
      <c r="J7" cm="1">
        <f t="array" ref="J7">IF($H7="","",SUMPRODUCT(--(Checklist!$A$5:$A$483=$H7)*--(Checklist!$F$5:$F$483=J$5)))</f>
        <v>0</v>
      </c>
      <c r="K7" cm="1">
        <f t="array" ref="K7">IF($H7="","",SUMPRODUCT(--(Checklist!$A$5:$A$483=$H7)*--(Checklist!$F$5:$F$483=K$5)))</f>
        <v>0</v>
      </c>
      <c r="L7" cm="1">
        <f t="array" ref="L7">IF($H7="","",SUMPRODUCT(--(Checklist!$A$5:$A$483=$H7)*--(Checklist!$F$5:$F$483=L$5)))</f>
        <v>0</v>
      </c>
      <c r="M7">
        <f t="shared" ref="M7:M12" si="0">IF($H7="","",SUM(I7:L7))</f>
        <v>0</v>
      </c>
    </row>
    <row r="8" spans="1:13" x14ac:dyDescent="0.45">
      <c r="A8" s="14" t="str">
        <f>Values!A4</f>
        <v>低い</v>
      </c>
      <c r="B8" cm="1">
        <f t="array" ref="B8">SUMPRODUCT(--(Checklist!$E$5:$H$483=$A8)*--(Checklist!$F$5:$F$483=B$5))</f>
        <v>0</v>
      </c>
      <c r="C8" cm="1">
        <f t="array" ref="C8">SUMPRODUCT(--(Checklist!$E$5:$H$483=$A8)*--(Checklist!$F$5:$F$483=C$5))</f>
        <v>0</v>
      </c>
      <c r="D8" cm="1">
        <f t="array" ref="D8">SUMPRODUCT(--(Checklist!$E$5:$H$483=$A8)*--(Checklist!$F$5:$F$483=D$5))</f>
        <v>0</v>
      </c>
      <c r="E8" cm="1">
        <f t="array" ref="E8">SUMPRODUCT(--(Checklist!$E$5:$H$483=$A8)*--(Checklist!$F$5:$F$483=E$5))</f>
        <v>0</v>
      </c>
      <c r="F8">
        <f>SUM(B8:E8)</f>
        <v>0</v>
      </c>
      <c r="H8" s="14" t="str">
        <f>IF(Values!$C4="","",Values!$C4)</f>
        <v>BC州とDR</v>
      </c>
      <c r="I8" cm="1">
        <f t="array" ref="I8">IF($H8="","",SUMPRODUCT(--(Checklist!$A$5:$A$483=$H8)*--(Checklist!$F$5:$F$483=I$5)))</f>
        <v>0</v>
      </c>
      <c r="J8" cm="1">
        <f t="array" ref="J8">IF($H8="","",SUMPRODUCT(--(Checklist!$A$5:$A$483=$H8)*--(Checklist!$F$5:$F$483=J$5)))</f>
        <v>0</v>
      </c>
      <c r="K8" cm="1">
        <f t="array" ref="K8">IF($H8="","",SUMPRODUCT(--(Checklist!$A$5:$A$483=$H8)*--(Checklist!$F$5:$F$483=K$5)))</f>
        <v>0</v>
      </c>
      <c r="L8" cm="1">
        <f t="array" ref="L8">IF($H8="","",SUMPRODUCT(--(Checklist!$A$5:$A$483=$H8)*--(Checklist!$F$5:$F$483=L$5)))</f>
        <v>0</v>
      </c>
      <c r="M8">
        <f t="shared" si="0"/>
        <v>0</v>
      </c>
    </row>
    <row r="9" spans="1:13" x14ac:dyDescent="0.4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4">
        <f>SUM(F6:F8)</f>
        <v>0</v>
      </c>
      <c r="H9" s="14" t="str">
        <f>IF(Values!$C5="","",Values!$C5)</f>
        <v>ガバナンスとセキュリティ</v>
      </c>
      <c r="I9" cm="1">
        <f t="array" ref="I9">IF($H9="","",SUMPRODUCT(--(Checklist!$A$5:$A$483=$H9)*--(Checklist!$F$5:$F$483=I$5)))</f>
        <v>0</v>
      </c>
      <c r="J9" cm="1">
        <f t="array" ref="J9">IF($H9="","",SUMPRODUCT(--(Checklist!$A$5:$A$483=$H9)*--(Checklist!$F$5:$F$483=J$5)))</f>
        <v>0</v>
      </c>
      <c r="K9" cm="1">
        <f t="array" ref="K9">IF($H9="","",SUMPRODUCT(--(Checklist!$A$5:$A$483=$H9)*--(Checklist!$F$5:$F$483=K$5)))</f>
        <v>0</v>
      </c>
      <c r="L9" cm="1">
        <f t="array" ref="L9">IF($H9="","",SUMPRODUCT(--(Checklist!$A$5:$A$483=$H9)*--(Checklist!$F$5:$F$483=L$5)))</f>
        <v>0</v>
      </c>
      <c r="M9">
        <f t="shared" si="0"/>
        <v>0</v>
      </c>
    </row>
    <row r="10" spans="1:13" x14ac:dyDescent="0.45">
      <c r="H10" s="14" t="str">
        <f>IF(Values!$C6="","",Values!$C6)</f>
        <v>コストガバナンス</v>
      </c>
      <c r="I10" cm="1">
        <f t="array" ref="I10">IF($H10="","",SUMPRODUCT(--(Checklist!$A$5:$A$483=$H10)*--(Checklist!$F$5:$F$483=I$5)))</f>
        <v>0</v>
      </c>
      <c r="J10" cm="1">
        <f t="array" ref="J10">IF($H10="","",SUMPRODUCT(--(Checklist!$A$5:$A$483=$H10)*--(Checklist!$F$5:$F$483=J$5)))</f>
        <v>0</v>
      </c>
      <c r="K10" cm="1">
        <f t="array" ref="K10">IF($H10="","",SUMPRODUCT(--(Checklist!$A$5:$A$483=$H10)*--(Checklist!$F$5:$F$483=K$5)))</f>
        <v>0</v>
      </c>
      <c r="L10" cm="1">
        <f t="array" ref="L10">IF($H10="","",SUMPRODUCT(--(Checklist!$A$5:$A$483=$H10)*--(Checklist!$F$5:$F$483=L$5)))</f>
        <v>0</v>
      </c>
      <c r="M10">
        <f t="shared" si="0"/>
        <v>0</v>
      </c>
    </row>
    <row r="11" spans="1:13" x14ac:dyDescent="0.45">
      <c r="H11" s="14" t="str">
        <f>IF(Values!$C7="","",Values!$C7)</f>
        <v>オペレーションズ</v>
      </c>
      <c r="I11" cm="1">
        <f t="array" ref="I11">IF($H11="","",SUMPRODUCT(--(Checklist!$A$5:$A$483=$H11)*--(Checklist!$F$5:$F$483=I$5)))</f>
        <v>0</v>
      </c>
      <c r="J11" cm="1">
        <f t="array" ref="J11">IF($H11="","",SUMPRODUCT(--(Checklist!$A$5:$A$483=$H11)*--(Checklist!$F$5:$F$483=J$5)))</f>
        <v>0</v>
      </c>
      <c r="K11" cm="1">
        <f t="array" ref="K11">IF($H11="","",SUMPRODUCT(--(Checklist!$A$5:$A$483=$H11)*--(Checklist!$F$5:$F$483=K$5)))</f>
        <v>0</v>
      </c>
      <c r="L11" cm="1">
        <f t="array" ref="L11">IF($H11="","",SUMPRODUCT(--(Checklist!$A$5:$A$483=$H11)*--(Checklist!$F$5:$F$483=L$5)))</f>
        <v>0</v>
      </c>
      <c r="M11">
        <f t="shared" si="0"/>
        <v>0</v>
      </c>
    </row>
    <row r="12" spans="1:13" x14ac:dyDescent="0.45">
      <c r="H12" s="14" t="str">
        <f>IF(Values!$C8="","",Values!$C8)</f>
        <v>アプリケーションの展開</v>
      </c>
      <c r="I12" cm="1">
        <f t="array" ref="I12">IF($H12="","",SUMPRODUCT(--(Checklist!$A$5:$A$483=$H12)*--(Checklist!$F$5:$F$483=I$5)))</f>
        <v>0</v>
      </c>
      <c r="J12" cm="1">
        <f t="array" ref="J12">IF($H12="","",SUMPRODUCT(--(Checklist!$A$5:$A$483=$H12)*--(Checklist!$F$5:$F$483=J$5)))</f>
        <v>0</v>
      </c>
      <c r="K12" cm="1">
        <f t="array" ref="K12">IF($H12="","",SUMPRODUCT(--(Checklist!$A$5:$A$483=$H12)*--(Checklist!$F$5:$F$483=K$5)))</f>
        <v>0</v>
      </c>
      <c r="L12" cm="1">
        <f t="array" ref="L12">IF($H12="","",SUMPRODUCT(--(Checklist!$A$5:$A$483=$H12)*--(Checklist!$F$5:$F$483=L$5)))</f>
        <v>0</v>
      </c>
      <c r="M12">
        <f t="shared" si="0"/>
        <v>0</v>
      </c>
    </row>
    <row r="13" spans="1:13" x14ac:dyDescent="0.45">
      <c r="H13" s="14" t="str">
        <f>IF(Values!$C9="","",Values!$C9)</f>
        <v/>
      </c>
      <c r="I13" t="str" cm="1">
        <f t="array" ref="I13">IF($H13="","",SUMPRODUCT(--(Checklist!$A$5:$A$483=$H13)*--(Checklist!$F$5:$F$483=I$5)))</f>
        <v/>
      </c>
      <c r="J13" t="str" cm="1">
        <f t="array" ref="J13">IF($H13="","",SUMPRODUCT(--(Checklist!$A$5:$A$483=$H13)*--(Checklist!$F$5:$F$483=J$5)))</f>
        <v/>
      </c>
      <c r="K13" t="str" cm="1">
        <f t="array" ref="K13">IF($H13="","",SUMPRODUCT(--(Checklist!$A$5:$A$483=$H13)*--(Checklist!$F$5:$F$483=K$5)))</f>
        <v/>
      </c>
      <c r="L13" t="str" cm="1">
        <f t="array" ref="L13">IF($H13="","",SUMPRODUCT(--(Checklist!$A$5:$A$483=$H13)*--(Checklist!$F$5:$F$483=L$5)))</f>
        <v/>
      </c>
      <c r="M13" t="str">
        <f>IF($H13="","",SUM(I13:L13))</f>
        <v/>
      </c>
    </row>
    <row r="14" spans="1:13" x14ac:dyDescent="0.45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4">
        <f>SUM(M6:M13)</f>
        <v>0</v>
      </c>
    </row>
    <row r="20" spans="14:19" x14ac:dyDescent="0.45">
      <c r="N20" s="14" t="s">
        <v>7</v>
      </c>
      <c r="O20" s="14" t="str">
        <f>Values!$B$2</f>
        <v>未検証</v>
      </c>
      <c r="P20" s="14" t="str">
        <f>Values!$B$3</f>
        <v>開ける</v>
      </c>
      <c r="Q20" s="14" t="s">
        <v>10</v>
      </c>
      <c r="R20" s="14" t="s">
        <v>8</v>
      </c>
      <c r="S20" s="14" t="s">
        <v>9</v>
      </c>
    </row>
    <row r="21" spans="14:19" x14ac:dyDescent="0.45">
      <c r="N21" s="14" t="str">
        <f>IF(Values!$C2="","",Values!$C2)</f>
        <v>ID とアクセスの管理</v>
      </c>
      <c r="O21" cm="1">
        <f t="array" ref="O21">IF($N21="","",SUMPRODUCT(--(Checklist!$A$5:$A$483=$N21)*--(Checklist!$F$5:$F$483=O$20)))</f>
        <v>0</v>
      </c>
      <c r="P21" cm="1">
        <f t="array" ref="P21">IF($N21="","",SUMPRODUCT(--(Checklist!$A$5:$A$483=$N21)*--(Checklist!$F$5:$F$483=P$20)))</f>
        <v>0</v>
      </c>
      <c r="Q21" cm="1">
        <f t="array" ref="Q21">IF($N21="","",SUMPRODUCT(--(Checklist!$A$5:$A$483=$N21)*(--(Checklist!$F$5:$F$483=Values!$B$4)+--(Checklist!$F$5:$F$483=Values!$B$5))))</f>
        <v>0</v>
      </c>
      <c r="R21">
        <f>IF($N21="","",SUM(O21:Q21))</f>
        <v>0</v>
      </c>
      <c r="S21" s="16" t="e">
        <f>IF($N21="","",Q21/R21)</f>
        <v>#DIV/0!</v>
      </c>
    </row>
    <row r="22" spans="14:19" x14ac:dyDescent="0.45">
      <c r="N22" s="14" t="str">
        <f>IF(Values!$C3="","",Values!$C3)</f>
        <v>ネットワーク トポロジと接続性</v>
      </c>
      <c r="O22" cm="1">
        <f t="array" ref="O22">IF($N22="","",SUMPRODUCT(--(Checklist!$A$5:$A$483=$N22)*--(Checklist!$F$5:$F$483=O$20)))</f>
        <v>0</v>
      </c>
      <c r="P22" cm="1">
        <f t="array" ref="P22">IF($N22="","",SUMPRODUCT(--(Checklist!$A$5:$A$483=$N22)*--(Checklist!$F$5:$F$483=P$20)))</f>
        <v>0</v>
      </c>
      <c r="Q22" cm="1">
        <f t="array" ref="Q22">IF($N22="","",SUMPRODUCT(--(Checklist!$A$5:$A$483=$N22)*(--(Checklist!$F$5:$F$483=Values!$B$4)+--(Checklist!$F$5:$F$483=Values!$B$5))))</f>
        <v>0</v>
      </c>
      <c r="R22">
        <f t="shared" ref="R22:R27" si="1">IF($N22="","",SUM(O22:Q22))</f>
        <v>0</v>
      </c>
      <c r="S22" s="16" t="e">
        <f t="shared" ref="S22:S27" si="2">IF($N22="","",Q22/R22)</f>
        <v>#DIV/0!</v>
      </c>
    </row>
    <row r="23" spans="14:19" x14ac:dyDescent="0.45">
      <c r="N23" s="14" t="str">
        <f>IF(Values!$C4="","",Values!$C4)</f>
        <v>BC州とDR</v>
      </c>
      <c r="O23" cm="1">
        <f t="array" ref="O23">IF($N23="","",SUMPRODUCT(--(Checklist!$A$5:$A$483=$N23)*--(Checklist!$F$5:$F$483=O$20)))</f>
        <v>0</v>
      </c>
      <c r="P23" cm="1">
        <f t="array" ref="P23">IF($N23="","",SUMPRODUCT(--(Checklist!$A$5:$A$483=$N23)*--(Checklist!$F$5:$F$483=P$20)))</f>
        <v>0</v>
      </c>
      <c r="Q23" cm="1">
        <f t="array" ref="Q23">IF($N23="","",SUMPRODUCT(--(Checklist!$A$5:$A$483=$N23)*(--(Checklist!$F$5:$F$483=Values!$B$4)+--(Checklist!$F$5:$F$483=Values!$B$5))))</f>
        <v>0</v>
      </c>
      <c r="R23">
        <f t="shared" si="1"/>
        <v>0</v>
      </c>
      <c r="S23" s="16" t="e">
        <f t="shared" si="2"/>
        <v>#DIV/0!</v>
      </c>
    </row>
    <row r="24" spans="14:19" x14ac:dyDescent="0.45">
      <c r="N24" s="14" t="str">
        <f>IF(Values!$C5="","",Values!$C5)</f>
        <v>ガバナンスとセキュリティ</v>
      </c>
      <c r="O24" cm="1">
        <f t="array" ref="O24">IF($N24="","",SUMPRODUCT(--(Checklist!$A$5:$A$483=$N24)*--(Checklist!$F$5:$F$483=O$20)))</f>
        <v>0</v>
      </c>
      <c r="P24" cm="1">
        <f t="array" ref="P24">IF($N24="","",SUMPRODUCT(--(Checklist!$A$5:$A$483=$N24)*--(Checklist!$F$5:$F$483=P$20)))</f>
        <v>0</v>
      </c>
      <c r="Q24" cm="1">
        <f t="array" ref="Q24">IF($N24="","",SUMPRODUCT(--(Checklist!$A$5:$A$483=$N24)*(--(Checklist!$F$5:$F$483=Values!$B$4)+--(Checklist!$F$5:$F$483=Values!$B$5))))</f>
        <v>0</v>
      </c>
      <c r="R24">
        <f t="shared" si="1"/>
        <v>0</v>
      </c>
      <c r="S24" s="16" t="e">
        <f t="shared" si="2"/>
        <v>#DIV/0!</v>
      </c>
    </row>
    <row r="25" spans="14:19" x14ac:dyDescent="0.45">
      <c r="N25" s="14" t="str">
        <f>IF(Values!$C6="","",Values!$C6)</f>
        <v>コストガバナンス</v>
      </c>
      <c r="O25" cm="1">
        <f t="array" ref="O25">IF($N25="","",SUMPRODUCT(--(Checklist!$A$5:$A$483=$N25)*--(Checklist!$F$5:$F$483=O$20)))</f>
        <v>0</v>
      </c>
      <c r="P25" cm="1">
        <f t="array" ref="P25">IF($N25="","",SUMPRODUCT(--(Checklist!$A$5:$A$483=$N25)*--(Checklist!$F$5:$F$483=P$20)))</f>
        <v>0</v>
      </c>
      <c r="Q25" cm="1">
        <f t="array" ref="Q25">IF($N25="","",SUMPRODUCT(--(Checklist!$A$5:$A$483=$N25)*(--(Checklist!$F$5:$F$483=Values!$B$4)+--(Checklist!$F$5:$F$483=Values!$B$5))))</f>
        <v>0</v>
      </c>
      <c r="R25">
        <f t="shared" si="1"/>
        <v>0</v>
      </c>
      <c r="S25" s="16" t="e">
        <f t="shared" si="2"/>
        <v>#DIV/0!</v>
      </c>
    </row>
    <row r="26" spans="14:19" x14ac:dyDescent="0.45">
      <c r="N26" s="14" t="str">
        <f>IF(Values!$C7="","",Values!$C7)</f>
        <v>オペレーションズ</v>
      </c>
      <c r="O26" cm="1">
        <f t="array" ref="O26">IF($N26="","",SUMPRODUCT(--(Checklist!$A$5:$A$483=$N26)*--(Checklist!$F$5:$F$483=O$20)))</f>
        <v>0</v>
      </c>
      <c r="P26" cm="1">
        <f t="array" ref="P26">IF($N26="","",SUMPRODUCT(--(Checklist!$A$5:$A$483=$N26)*--(Checklist!$F$5:$F$483=P$20)))</f>
        <v>0</v>
      </c>
      <c r="Q26" cm="1">
        <f t="array" ref="Q26">IF($N26="","",SUMPRODUCT(--(Checklist!$A$5:$A$483=$N26)*(--(Checklist!$F$5:$F$483=Values!$B$4)+--(Checklist!$F$5:$F$483=Values!$B$5))))</f>
        <v>0</v>
      </c>
      <c r="R26">
        <f t="shared" si="1"/>
        <v>0</v>
      </c>
      <c r="S26" s="16" t="e">
        <f t="shared" si="2"/>
        <v>#DIV/0!</v>
      </c>
    </row>
    <row r="27" spans="14:19" x14ac:dyDescent="0.45">
      <c r="N27" s="14" t="str">
        <f>IF(Values!$C8="","",Values!$C8)</f>
        <v>アプリケーションの展開</v>
      </c>
      <c r="O27" cm="1">
        <f t="array" ref="O27">IF($N27="","",SUMPRODUCT(--(Checklist!$A$5:$A$483=$N27)*--(Checklist!$F$5:$F$483=O$20)))</f>
        <v>0</v>
      </c>
      <c r="P27" cm="1">
        <f t="array" ref="P27">IF($N27="","",SUMPRODUCT(--(Checklist!$A$5:$A$483=$N27)*--(Checklist!$F$5:$F$483=P$20)))</f>
        <v>0</v>
      </c>
      <c r="Q27" cm="1">
        <f t="array" ref="Q27">IF($N27="","",SUMPRODUCT(--(Checklist!$A$5:$A$483=$N27)*(--(Checklist!$F$5:$F$483=Values!$B$4)+--(Checklist!$F$5:$F$483=Values!$B$5))))</f>
        <v>0</v>
      </c>
      <c r="R27">
        <f t="shared" si="1"/>
        <v>0</v>
      </c>
      <c r="S27" s="16" t="e">
        <f t="shared" si="2"/>
        <v>#DIV/0!</v>
      </c>
    </row>
    <row r="28" spans="14:19" x14ac:dyDescent="0.45">
      <c r="N28" s="14" t="str">
        <f>IF(Values!$C9="","",Values!$C9)</f>
        <v/>
      </c>
      <c r="O28" t="str" cm="1">
        <f t="array" ref="O28">IF($N28="","",SUMPRODUCT(--(Checklist!$A$5:$A$483=$N28)*--(Checklist!$F$5:$F$483=O$20)))</f>
        <v/>
      </c>
      <c r="P28" t="str" cm="1">
        <f t="array" ref="P28">IF($N28="","",SUMPRODUCT(--(Checklist!$A$5:$A$483=$N28)*--(Checklist!$F$5:$F$483=P$20)))</f>
        <v/>
      </c>
      <c r="Q28" t="str" cm="1">
        <f t="array" ref="Q28">IF($N28="","",SUMPRODUCT(--(Checklist!$A$5:$A$483=$N28)*(--(Checklist!$F$5:$F$483=Values!$B$4)+--(Checklist!$F$5:$F$483=Values!$B$5))))</f>
        <v/>
      </c>
      <c r="R28" t="str">
        <f>IF($N28="","",SUM(O28:Q28))</f>
        <v/>
      </c>
      <c r="S28" s="16" t="str">
        <f>IF($N28="","",Q28/R28)</f>
        <v/>
      </c>
    </row>
    <row r="29" spans="14:19" x14ac:dyDescent="0.45">
      <c r="O29">
        <f>SUM(O21:O28)</f>
        <v>0</v>
      </c>
      <c r="P29">
        <f>SUM(P21:P28)</f>
        <v>0</v>
      </c>
      <c r="Q29">
        <f>SUM(Q21:Q28)</f>
        <v>0</v>
      </c>
      <c r="R29" s="14">
        <f>SUM(R21:R28)</f>
        <v>0</v>
      </c>
      <c r="S29" s="17">
        <f>IF(R29=0,0,Q29/R29)</f>
        <v>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286"/>
  <sheetViews>
    <sheetView showGridLines="0" tabSelected="1" zoomScale="80" zoomScaleNormal="80" workbookViewId="0">
      <selection activeCell="C2" sqref="C2:D2"/>
    </sheetView>
  </sheetViews>
  <sheetFormatPr defaultColWidth="9" defaultRowHeight="16.5" x14ac:dyDescent="0.45"/>
  <cols>
    <col min="1" max="1" width="19" style="1" customWidth="1"/>
    <col min="2" max="2" width="22.265625" style="1" customWidth="1"/>
    <col min="3" max="3" width="94.59765625" style="2" customWidth="1"/>
    <col min="4" max="4" width="34.1328125" style="2" customWidth="1"/>
    <col min="5" max="5" width="16.1328125" style="2" customWidth="1"/>
    <col min="6" max="6" width="15.1328125" style="2" customWidth="1"/>
    <col min="7" max="7" width="76" style="2" customWidth="1"/>
    <col min="8" max="8" width="18.3984375" style="2" customWidth="1"/>
    <col min="9" max="9" width="14.59765625" style="2" customWidth="1"/>
    <col min="10" max="11" width="9" style="2"/>
    <col min="12" max="12" width="41.265625" style="2" customWidth="1"/>
    <col min="13" max="16384" width="9" style="2"/>
  </cols>
  <sheetData>
    <row r="1" spans="1:12" ht="121.9" customHeight="1" x14ac:dyDescent="0.6">
      <c r="A1" s="29"/>
      <c r="B1" s="29"/>
      <c r="C1" s="13" t="s">
        <v>118</v>
      </c>
      <c r="D1" s="13"/>
    </row>
    <row r="2" spans="1:12" s="5" customFormat="1" ht="24.6" customHeight="1" x14ac:dyDescent="0.45">
      <c r="A2" s="20" t="s">
        <v>23</v>
      </c>
      <c r="B2" s="4"/>
      <c r="C2" s="30" t="s">
        <v>119</v>
      </c>
      <c r="D2" s="30"/>
      <c r="E2" s="4"/>
      <c r="F2" s="4"/>
      <c r="G2" s="4"/>
      <c r="H2" s="4"/>
    </row>
    <row r="3" spans="1:12" x14ac:dyDescent="0.45">
      <c r="A3" s="3"/>
      <c r="B3" s="3"/>
      <c r="C3" s="7"/>
      <c r="D3" s="7"/>
      <c r="E3" s="3"/>
      <c r="F3" s="3"/>
      <c r="G3" s="3"/>
      <c r="H3" s="3"/>
    </row>
    <row r="4" spans="1:12" s="6" customFormat="1" ht="24" x14ac:dyDescent="0.45">
      <c r="A4" s="6" t="s">
        <v>0</v>
      </c>
      <c r="B4" s="6" t="s">
        <v>1</v>
      </c>
      <c r="C4" s="6" t="s">
        <v>21</v>
      </c>
      <c r="D4" s="6" t="s">
        <v>22</v>
      </c>
      <c r="E4" s="6" t="s">
        <v>2</v>
      </c>
      <c r="F4" s="6" t="s">
        <v>3</v>
      </c>
      <c r="G4" s="6" t="s">
        <v>4</v>
      </c>
      <c r="H4" s="6" t="s">
        <v>5</v>
      </c>
      <c r="I4" s="6" t="s">
        <v>11</v>
      </c>
      <c r="J4" s="22" t="s">
        <v>13</v>
      </c>
      <c r="K4" s="22" t="s">
        <v>14</v>
      </c>
      <c r="L4" s="22" t="s">
        <v>15</v>
      </c>
    </row>
    <row r="5" spans="1:12" ht="16.5" customHeight="1" x14ac:dyDescent="0.45">
      <c r="A5" s="2"/>
      <c r="B5" s="2"/>
      <c r="D5" s="26"/>
      <c r="H5" s="18" t="s">
        <v>5</v>
      </c>
      <c r="I5" s="12"/>
      <c r="J5" s="21"/>
      <c r="K5" s="21"/>
      <c r="L5" s="23" t="s">
        <v>24</v>
      </c>
    </row>
    <row r="6" spans="1:12" ht="16.5" customHeight="1" x14ac:dyDescent="0.45">
      <c r="A6" s="2"/>
      <c r="B6" s="2"/>
      <c r="D6" s="26"/>
      <c r="H6" s="18" t="s">
        <v>5</v>
      </c>
      <c r="I6" s="12"/>
      <c r="J6" s="21"/>
      <c r="K6" s="21"/>
      <c r="L6" s="21" t="s">
        <v>25</v>
      </c>
    </row>
    <row r="7" spans="1:12" ht="16.5" customHeight="1" x14ac:dyDescent="0.45">
      <c r="A7" s="2"/>
      <c r="B7" s="2"/>
      <c r="D7" s="26"/>
      <c r="H7" s="18" t="s">
        <v>5</v>
      </c>
      <c r="I7" s="12"/>
      <c r="J7" s="21"/>
      <c r="K7" s="21"/>
      <c r="L7" s="21" t="s">
        <v>26</v>
      </c>
    </row>
    <row r="8" spans="1:12" ht="16.5" customHeight="1" x14ac:dyDescent="0.45">
      <c r="A8" s="2"/>
      <c r="B8" s="2"/>
      <c r="D8" s="26"/>
      <c r="H8" s="18" t="s">
        <v>5</v>
      </c>
      <c r="I8" s="12"/>
      <c r="J8" s="21"/>
      <c r="K8" s="21"/>
      <c r="L8" s="21" t="s">
        <v>27</v>
      </c>
    </row>
    <row r="9" spans="1:12" ht="16.5" customHeight="1" x14ac:dyDescent="0.45">
      <c r="A9" s="2"/>
      <c r="B9" s="2"/>
      <c r="D9" s="26"/>
      <c r="H9" s="18" t="s">
        <v>5</v>
      </c>
      <c r="I9" s="12"/>
      <c r="J9" s="21"/>
      <c r="K9" s="21"/>
      <c r="L9" s="21" t="s">
        <v>108</v>
      </c>
    </row>
    <row r="10" spans="1:12" ht="16.5" customHeight="1" x14ac:dyDescent="0.45">
      <c r="A10" s="2"/>
      <c r="B10" s="2"/>
      <c r="D10" s="26"/>
      <c r="H10" s="18" t="s">
        <v>5</v>
      </c>
      <c r="I10" s="12"/>
      <c r="J10" s="21"/>
      <c r="K10" s="21"/>
      <c r="L10" s="21" t="s">
        <v>28</v>
      </c>
    </row>
    <row r="11" spans="1:12" ht="16.5" customHeight="1" x14ac:dyDescent="0.45">
      <c r="A11" s="2"/>
      <c r="B11" s="2"/>
      <c r="D11" s="26"/>
      <c r="H11" s="18" t="s">
        <v>5</v>
      </c>
      <c r="I11" s="12"/>
      <c r="J11" s="21"/>
      <c r="K11" s="21"/>
      <c r="L11" s="21" t="s">
        <v>29</v>
      </c>
    </row>
    <row r="12" spans="1:12" ht="16.5" customHeight="1" x14ac:dyDescent="0.45">
      <c r="A12" s="2"/>
      <c r="B12" s="2"/>
      <c r="D12" s="26"/>
      <c r="H12" s="18" t="s">
        <v>5</v>
      </c>
      <c r="I12" s="12"/>
      <c r="J12" s="21"/>
      <c r="K12" s="21"/>
      <c r="L12" s="21" t="s">
        <v>30</v>
      </c>
    </row>
    <row r="13" spans="1:12" ht="16.5" customHeight="1" x14ac:dyDescent="0.45">
      <c r="A13" s="2"/>
      <c r="B13" s="2"/>
      <c r="D13" s="26"/>
      <c r="H13" s="18" t="s">
        <v>5</v>
      </c>
      <c r="I13" s="12"/>
      <c r="J13" s="21"/>
      <c r="K13" s="21"/>
      <c r="L13" s="21" t="s">
        <v>31</v>
      </c>
    </row>
    <row r="14" spans="1:12" ht="16.5" customHeight="1" x14ac:dyDescent="0.45">
      <c r="A14" s="2"/>
      <c r="B14" s="2"/>
      <c r="D14" s="26"/>
      <c r="H14" s="18" t="s">
        <v>5</v>
      </c>
      <c r="I14" s="12"/>
      <c r="J14" s="21"/>
      <c r="K14" s="21"/>
      <c r="L14" s="21" t="s">
        <v>32</v>
      </c>
    </row>
    <row r="15" spans="1:12" ht="16.5" customHeight="1" x14ac:dyDescent="0.45">
      <c r="A15" s="2"/>
      <c r="B15" s="2"/>
      <c r="D15" s="26"/>
      <c r="H15" s="18" t="s">
        <v>5</v>
      </c>
      <c r="I15" s="12"/>
      <c r="J15" s="21"/>
      <c r="K15" s="21"/>
      <c r="L15" s="23" t="s">
        <v>33</v>
      </c>
    </row>
    <row r="16" spans="1:12" ht="16.5" customHeight="1" x14ac:dyDescent="0.45">
      <c r="A16" s="2"/>
      <c r="B16" s="2"/>
      <c r="D16" s="26"/>
      <c r="H16" s="18" t="s">
        <v>5</v>
      </c>
      <c r="I16" s="12"/>
      <c r="J16" s="21"/>
      <c r="K16" s="21"/>
      <c r="L16" s="23" t="s">
        <v>34</v>
      </c>
    </row>
    <row r="17" spans="1:12" ht="16.5" customHeight="1" x14ac:dyDescent="0.45">
      <c r="A17" s="2"/>
      <c r="B17" s="2"/>
      <c r="D17" s="26"/>
      <c r="H17" s="18" t="s">
        <v>5</v>
      </c>
      <c r="I17" s="12"/>
      <c r="J17" s="21"/>
      <c r="K17" s="21"/>
      <c r="L17" s="23" t="s">
        <v>35</v>
      </c>
    </row>
    <row r="18" spans="1:12" ht="16.5" customHeight="1" x14ac:dyDescent="0.45">
      <c r="A18" s="2"/>
      <c r="B18" s="2"/>
      <c r="D18" s="26"/>
      <c r="G18" s="1"/>
      <c r="H18" s="18" t="s">
        <v>5</v>
      </c>
      <c r="I18" s="12"/>
      <c r="J18" s="21"/>
      <c r="K18" s="21"/>
      <c r="L18" s="21" t="s">
        <v>36</v>
      </c>
    </row>
    <row r="19" spans="1:12" ht="16.5" customHeight="1" x14ac:dyDescent="0.45">
      <c r="A19" s="2"/>
      <c r="B19" s="2"/>
      <c r="D19" s="26"/>
      <c r="H19" s="18" t="s">
        <v>5</v>
      </c>
      <c r="I19" s="27"/>
      <c r="J19" s="21"/>
      <c r="K19" s="21"/>
      <c r="L19" s="21" t="s">
        <v>37</v>
      </c>
    </row>
    <row r="20" spans="1:12" ht="16.5" customHeight="1" x14ac:dyDescent="0.45">
      <c r="A20" s="2"/>
      <c r="B20" s="2"/>
      <c r="D20" s="26"/>
      <c r="H20" s="18" t="s">
        <v>5</v>
      </c>
      <c r="I20" s="27"/>
      <c r="J20" s="21"/>
      <c r="K20" s="21"/>
      <c r="L20" s="21" t="s">
        <v>38</v>
      </c>
    </row>
    <row r="21" spans="1:12" ht="16.5" customHeight="1" x14ac:dyDescent="0.45">
      <c r="A21" s="2"/>
      <c r="B21" s="2"/>
      <c r="D21" s="26"/>
      <c r="H21" s="18" t="s">
        <v>5</v>
      </c>
      <c r="I21" s="12"/>
      <c r="J21" s="21"/>
      <c r="K21" s="21"/>
      <c r="L21" s="21" t="s">
        <v>39</v>
      </c>
    </row>
    <row r="22" spans="1:12" ht="16.5" customHeight="1" x14ac:dyDescent="0.45">
      <c r="A22" s="2"/>
      <c r="B22" s="2"/>
      <c r="D22" s="26"/>
      <c r="G22" s="1"/>
      <c r="H22" s="18" t="s">
        <v>5</v>
      </c>
      <c r="I22" s="27"/>
      <c r="J22" s="21"/>
      <c r="K22" s="21"/>
      <c r="L22" s="21" t="s">
        <v>40</v>
      </c>
    </row>
    <row r="23" spans="1:12" ht="16.5" customHeight="1" x14ac:dyDescent="0.45">
      <c r="A23" s="2"/>
      <c r="B23" s="2"/>
      <c r="D23" s="26"/>
      <c r="G23" s="1"/>
      <c r="H23" s="18" t="s">
        <v>5</v>
      </c>
      <c r="I23" s="27"/>
      <c r="J23" s="21"/>
      <c r="K23" s="21"/>
      <c r="L23" s="21" t="s">
        <v>41</v>
      </c>
    </row>
    <row r="24" spans="1:12" ht="16.5" customHeight="1" x14ac:dyDescent="0.45">
      <c r="A24" s="2"/>
      <c r="B24" s="2"/>
      <c r="D24" s="26"/>
      <c r="H24" s="18" t="s">
        <v>5</v>
      </c>
      <c r="I24" s="27"/>
      <c r="J24" s="21"/>
      <c r="K24" s="21"/>
      <c r="L24" s="21" t="s">
        <v>42</v>
      </c>
    </row>
    <row r="25" spans="1:12" ht="16.5" customHeight="1" x14ac:dyDescent="0.45">
      <c r="A25" s="2"/>
      <c r="B25" s="2"/>
      <c r="D25" s="26"/>
      <c r="H25" s="18" t="s">
        <v>5</v>
      </c>
      <c r="I25" s="12"/>
      <c r="J25" s="21"/>
      <c r="K25" s="21"/>
      <c r="L25" s="21" t="s">
        <v>43</v>
      </c>
    </row>
    <row r="26" spans="1:12" ht="16.5" customHeight="1" x14ac:dyDescent="0.45">
      <c r="A26" s="2"/>
      <c r="B26" s="2"/>
      <c r="D26" s="26"/>
      <c r="H26" s="18" t="s">
        <v>5</v>
      </c>
      <c r="I26" s="12"/>
      <c r="J26" s="21"/>
      <c r="K26" s="21"/>
      <c r="L26" s="21" t="s">
        <v>112</v>
      </c>
    </row>
    <row r="27" spans="1:12" ht="16.5" customHeight="1" x14ac:dyDescent="0.45">
      <c r="A27" s="2"/>
      <c r="B27" s="2"/>
      <c r="D27" s="26"/>
      <c r="H27" s="18" t="s">
        <v>5</v>
      </c>
      <c r="I27" s="12"/>
      <c r="J27" s="21"/>
      <c r="K27" s="21"/>
      <c r="L27" s="21" t="s">
        <v>44</v>
      </c>
    </row>
    <row r="28" spans="1:12" ht="16.5" customHeight="1" x14ac:dyDescent="0.45">
      <c r="A28" s="2"/>
      <c r="B28" s="2"/>
      <c r="D28" s="26"/>
      <c r="G28" s="1"/>
      <c r="H28" s="18" t="s">
        <v>5</v>
      </c>
      <c r="I28" s="12"/>
      <c r="J28" s="21"/>
      <c r="K28" s="21"/>
      <c r="L28" s="21" t="s">
        <v>45</v>
      </c>
    </row>
    <row r="29" spans="1:12" ht="16.5" customHeight="1" x14ac:dyDescent="0.45">
      <c r="A29" s="2"/>
      <c r="B29" s="2"/>
      <c r="D29" s="26"/>
      <c r="H29" s="18" t="s">
        <v>5</v>
      </c>
      <c r="I29" s="12"/>
      <c r="J29" s="21"/>
      <c r="K29" s="21"/>
      <c r="L29" s="23" t="s">
        <v>46</v>
      </c>
    </row>
    <row r="30" spans="1:12" ht="16.5" customHeight="1" x14ac:dyDescent="0.45">
      <c r="A30" s="2"/>
      <c r="B30" s="2"/>
      <c r="D30" s="26"/>
      <c r="H30" s="18" t="s">
        <v>5</v>
      </c>
      <c r="I30" s="12"/>
      <c r="J30" s="21"/>
      <c r="K30" s="21"/>
      <c r="L30" s="23" t="s">
        <v>47</v>
      </c>
    </row>
    <row r="31" spans="1:12" ht="16.5" customHeight="1" x14ac:dyDescent="0.45">
      <c r="A31" s="2"/>
      <c r="B31" s="2"/>
      <c r="D31" s="26"/>
      <c r="G31" s="1"/>
      <c r="H31" s="18" t="s">
        <v>5</v>
      </c>
      <c r="I31" s="12"/>
      <c r="J31" s="21"/>
      <c r="K31" s="21"/>
      <c r="L31" s="21" t="s">
        <v>48</v>
      </c>
    </row>
    <row r="32" spans="1:12" ht="16.5" customHeight="1" x14ac:dyDescent="0.45">
      <c r="A32" s="2"/>
      <c r="B32" s="2"/>
      <c r="D32" s="26"/>
      <c r="G32" s="1"/>
      <c r="H32" s="18" t="s">
        <v>5</v>
      </c>
      <c r="I32" s="12"/>
      <c r="J32" s="21"/>
      <c r="K32" s="21"/>
      <c r="L32" s="21" t="s">
        <v>49</v>
      </c>
    </row>
    <row r="33" spans="1:12" ht="16.5" customHeight="1" x14ac:dyDescent="0.45">
      <c r="A33" s="2"/>
      <c r="B33" s="2"/>
      <c r="D33" s="26"/>
      <c r="G33" s="1"/>
      <c r="H33" s="18" t="s">
        <v>5</v>
      </c>
      <c r="I33" s="12"/>
      <c r="J33" s="21"/>
      <c r="K33" s="21"/>
      <c r="L33" s="21" t="s">
        <v>50</v>
      </c>
    </row>
    <row r="34" spans="1:12" ht="16.5" customHeight="1" x14ac:dyDescent="0.45">
      <c r="A34" s="2"/>
      <c r="B34" s="2"/>
      <c r="D34" s="26"/>
      <c r="H34" s="18" t="s">
        <v>5</v>
      </c>
      <c r="I34" s="12"/>
      <c r="J34" s="21"/>
      <c r="K34" s="21"/>
      <c r="L34" s="21" t="s">
        <v>51</v>
      </c>
    </row>
    <row r="35" spans="1:12" ht="16.5" customHeight="1" x14ac:dyDescent="0.45">
      <c r="A35" s="2"/>
      <c r="B35" s="2"/>
      <c r="D35" s="26"/>
      <c r="H35" s="18" t="s">
        <v>5</v>
      </c>
      <c r="I35" s="12"/>
      <c r="J35" s="21"/>
      <c r="K35" s="21"/>
      <c r="L35" s="21" t="s">
        <v>52</v>
      </c>
    </row>
    <row r="36" spans="1:12" ht="16.5" customHeight="1" x14ac:dyDescent="0.45">
      <c r="A36" s="2"/>
      <c r="B36" s="2"/>
      <c r="D36" s="26"/>
      <c r="H36" s="18" t="s">
        <v>5</v>
      </c>
      <c r="I36" s="12"/>
      <c r="J36" s="21"/>
      <c r="K36" s="21"/>
      <c r="L36" s="21" t="s">
        <v>53</v>
      </c>
    </row>
    <row r="37" spans="1:12" ht="16.5" customHeight="1" x14ac:dyDescent="0.45">
      <c r="A37" s="2"/>
      <c r="B37" s="2"/>
      <c r="D37" s="26"/>
      <c r="H37" s="18" t="s">
        <v>5</v>
      </c>
      <c r="I37" s="12"/>
      <c r="J37" s="21"/>
      <c r="K37" s="21"/>
      <c r="L37" s="21" t="s">
        <v>54</v>
      </c>
    </row>
    <row r="38" spans="1:12" ht="16.5" customHeight="1" x14ac:dyDescent="0.45">
      <c r="A38" s="2"/>
      <c r="B38" s="2"/>
      <c r="D38" s="26"/>
      <c r="H38" s="18" t="s">
        <v>5</v>
      </c>
      <c r="I38" s="12"/>
      <c r="J38" s="21"/>
      <c r="K38" s="21"/>
      <c r="L38" s="21" t="s">
        <v>55</v>
      </c>
    </row>
    <row r="39" spans="1:12" ht="16.5" customHeight="1" x14ac:dyDescent="0.45">
      <c r="A39" s="2"/>
      <c r="B39" s="2"/>
      <c r="D39" s="26"/>
      <c r="H39" s="18" t="s">
        <v>5</v>
      </c>
      <c r="I39" s="12"/>
      <c r="J39" s="21"/>
      <c r="K39" s="21"/>
      <c r="L39" s="21" t="s">
        <v>56</v>
      </c>
    </row>
    <row r="40" spans="1:12" ht="16.5" customHeight="1" x14ac:dyDescent="0.45">
      <c r="A40" s="2"/>
      <c r="B40" s="2"/>
      <c r="D40" s="26"/>
      <c r="H40" s="18" t="s">
        <v>5</v>
      </c>
      <c r="I40" s="12"/>
      <c r="J40" s="21"/>
      <c r="K40" s="21"/>
      <c r="L40" s="21" t="s">
        <v>57</v>
      </c>
    </row>
    <row r="41" spans="1:12" ht="16.5" customHeight="1" x14ac:dyDescent="0.45">
      <c r="A41" s="2"/>
      <c r="B41" s="2"/>
      <c r="D41" s="26"/>
      <c r="H41" s="18" t="s">
        <v>5</v>
      </c>
      <c r="I41" s="12"/>
      <c r="J41" s="21"/>
      <c r="K41" s="21"/>
      <c r="L41" s="21" t="s">
        <v>58</v>
      </c>
    </row>
    <row r="42" spans="1:12" ht="16.5" customHeight="1" x14ac:dyDescent="0.45">
      <c r="A42" s="2"/>
      <c r="B42" s="2"/>
      <c r="D42" s="26"/>
      <c r="H42" s="18" t="s">
        <v>5</v>
      </c>
      <c r="I42" s="12"/>
      <c r="J42" s="21"/>
      <c r="K42" s="21"/>
      <c r="L42" s="21" t="s">
        <v>59</v>
      </c>
    </row>
    <row r="43" spans="1:12" ht="16.5" customHeight="1" x14ac:dyDescent="0.45">
      <c r="A43" s="2"/>
      <c r="B43" s="2"/>
      <c r="D43" s="26"/>
      <c r="H43" s="18" t="s">
        <v>5</v>
      </c>
      <c r="I43" s="12"/>
      <c r="J43" s="21"/>
      <c r="K43" s="21"/>
      <c r="L43" s="21" t="s">
        <v>60</v>
      </c>
    </row>
    <row r="44" spans="1:12" ht="16.5" customHeight="1" x14ac:dyDescent="0.45">
      <c r="A44" s="2"/>
      <c r="B44" s="2"/>
      <c r="C44" s="1"/>
      <c r="D44" s="26"/>
      <c r="H44" s="18" t="s">
        <v>5</v>
      </c>
      <c r="I44" s="12"/>
      <c r="J44" s="21"/>
      <c r="K44" s="21"/>
      <c r="L44" s="21" t="s">
        <v>61</v>
      </c>
    </row>
    <row r="45" spans="1:12" ht="16.5" customHeight="1" x14ac:dyDescent="0.45">
      <c r="A45" s="2"/>
      <c r="B45" s="2"/>
      <c r="C45" s="1"/>
      <c r="D45" s="26"/>
      <c r="H45" s="18" t="s">
        <v>5</v>
      </c>
      <c r="I45" s="12"/>
      <c r="J45" s="21"/>
      <c r="K45" s="21"/>
      <c r="L45" s="21" t="s">
        <v>62</v>
      </c>
    </row>
    <row r="46" spans="1:12" ht="16.5" customHeight="1" x14ac:dyDescent="0.45">
      <c r="A46" s="2"/>
      <c r="B46" s="2"/>
      <c r="D46" s="26"/>
      <c r="H46" s="18" t="s">
        <v>5</v>
      </c>
      <c r="I46" s="12"/>
      <c r="J46" s="21"/>
      <c r="K46" s="21"/>
      <c r="L46" s="21" t="s">
        <v>63</v>
      </c>
    </row>
    <row r="47" spans="1:12" ht="16.5" customHeight="1" x14ac:dyDescent="0.45">
      <c r="A47" s="2"/>
      <c r="B47" s="2"/>
      <c r="D47" s="26"/>
      <c r="H47" s="18" t="s">
        <v>5</v>
      </c>
      <c r="I47" s="12"/>
      <c r="J47" s="21"/>
      <c r="K47" s="21"/>
      <c r="L47" s="21" t="s">
        <v>64</v>
      </c>
    </row>
    <row r="48" spans="1:12" ht="16.5" customHeight="1" x14ac:dyDescent="0.45">
      <c r="A48" s="2"/>
      <c r="B48" s="2"/>
      <c r="D48" s="26"/>
      <c r="H48" s="18" t="s">
        <v>5</v>
      </c>
      <c r="I48" s="12"/>
      <c r="J48" s="21"/>
      <c r="K48" s="21"/>
      <c r="L48" s="21" t="s">
        <v>116</v>
      </c>
    </row>
    <row r="49" spans="1:12" ht="16.5" customHeight="1" x14ac:dyDescent="0.45">
      <c r="A49" s="2"/>
      <c r="B49" s="2"/>
      <c r="D49" s="26"/>
      <c r="H49" s="18" t="s">
        <v>5</v>
      </c>
      <c r="I49" s="12"/>
      <c r="J49" s="21"/>
      <c r="K49" s="21"/>
      <c r="L49" s="21" t="s">
        <v>65</v>
      </c>
    </row>
    <row r="50" spans="1:12" ht="16.5" customHeight="1" x14ac:dyDescent="0.45">
      <c r="A50" s="2"/>
      <c r="B50" s="2"/>
      <c r="D50" s="26"/>
      <c r="H50" s="18" t="s">
        <v>5</v>
      </c>
      <c r="I50" s="12"/>
      <c r="J50" s="21"/>
      <c r="K50" s="21"/>
      <c r="L50" s="21" t="s">
        <v>66</v>
      </c>
    </row>
    <row r="51" spans="1:12" ht="16.5" customHeight="1" x14ac:dyDescent="0.45">
      <c r="A51" s="2"/>
      <c r="B51" s="2"/>
      <c r="C51" s="1"/>
      <c r="D51" s="26"/>
      <c r="H51" s="18" t="s">
        <v>5</v>
      </c>
      <c r="I51" s="12"/>
      <c r="J51" s="21"/>
      <c r="K51" s="21"/>
      <c r="L51" s="21" t="s">
        <v>67</v>
      </c>
    </row>
    <row r="52" spans="1:12" ht="16.5" customHeight="1" x14ac:dyDescent="0.45">
      <c r="A52" s="2"/>
      <c r="B52" s="2"/>
      <c r="D52" s="26"/>
      <c r="H52" s="18" t="s">
        <v>5</v>
      </c>
      <c r="I52" s="12"/>
      <c r="J52" s="21"/>
      <c r="K52" s="21"/>
      <c r="L52" s="21" t="s">
        <v>68</v>
      </c>
    </row>
    <row r="53" spans="1:12" ht="16.5" customHeight="1" x14ac:dyDescent="0.45">
      <c r="A53" s="2"/>
      <c r="B53" s="2"/>
      <c r="D53" s="26"/>
      <c r="H53" s="18" t="s">
        <v>5</v>
      </c>
      <c r="I53" s="12"/>
      <c r="J53" s="21"/>
      <c r="K53" s="21"/>
      <c r="L53" s="21" t="s">
        <v>69</v>
      </c>
    </row>
    <row r="54" spans="1:12" ht="16.5" customHeight="1" x14ac:dyDescent="0.45">
      <c r="A54" s="2"/>
      <c r="B54" s="2"/>
      <c r="D54" s="26"/>
      <c r="H54" s="18" t="s">
        <v>5</v>
      </c>
      <c r="I54" s="12"/>
      <c r="J54" s="21"/>
      <c r="K54" s="21"/>
      <c r="L54" s="21" t="s">
        <v>70</v>
      </c>
    </row>
    <row r="55" spans="1:12" ht="16.5" customHeight="1" x14ac:dyDescent="0.45">
      <c r="A55" s="2"/>
      <c r="B55" s="2"/>
      <c r="D55" s="26"/>
      <c r="H55" s="18" t="s">
        <v>5</v>
      </c>
      <c r="I55" s="12"/>
      <c r="J55" s="21"/>
      <c r="K55" s="21"/>
      <c r="L55" s="23" t="s">
        <v>71</v>
      </c>
    </row>
    <row r="56" spans="1:12" ht="16.5" customHeight="1" x14ac:dyDescent="0.45">
      <c r="A56" s="2"/>
      <c r="B56" s="2"/>
      <c r="D56" s="26"/>
      <c r="H56" s="18" t="s">
        <v>5</v>
      </c>
      <c r="I56" s="12"/>
      <c r="J56" s="21"/>
      <c r="K56" s="21"/>
      <c r="L56" s="21" t="s">
        <v>72</v>
      </c>
    </row>
    <row r="57" spans="1:12" ht="16.5" customHeight="1" x14ac:dyDescent="0.45">
      <c r="A57" s="2"/>
      <c r="B57" s="2"/>
      <c r="D57" s="26"/>
      <c r="H57" s="18" t="s">
        <v>5</v>
      </c>
      <c r="I57" s="12"/>
      <c r="J57" s="21"/>
      <c r="K57" s="21"/>
      <c r="L57" s="21" t="s">
        <v>73</v>
      </c>
    </row>
    <row r="58" spans="1:12" ht="16.5" customHeight="1" x14ac:dyDescent="0.45">
      <c r="A58" s="2"/>
      <c r="B58" s="2"/>
      <c r="D58" s="26"/>
      <c r="H58" s="18" t="s">
        <v>5</v>
      </c>
      <c r="I58" s="12"/>
      <c r="J58" s="21"/>
      <c r="K58" s="21"/>
      <c r="L58" s="21" t="s">
        <v>74</v>
      </c>
    </row>
    <row r="59" spans="1:12" ht="16.5" customHeight="1" x14ac:dyDescent="0.45">
      <c r="A59" s="2"/>
      <c r="B59" s="2"/>
      <c r="D59" s="26"/>
      <c r="H59" s="18" t="s">
        <v>5</v>
      </c>
      <c r="I59" s="12"/>
      <c r="J59" s="21"/>
      <c r="K59" s="21"/>
      <c r="L59" s="21" t="s">
        <v>75</v>
      </c>
    </row>
    <row r="60" spans="1:12" ht="16.5" customHeight="1" x14ac:dyDescent="0.45">
      <c r="A60" s="2"/>
      <c r="B60" s="2"/>
      <c r="D60" s="26"/>
      <c r="H60" s="18" t="s">
        <v>5</v>
      </c>
      <c r="I60" s="12"/>
      <c r="J60" s="21"/>
      <c r="K60" s="21"/>
      <c r="L60" s="23" t="s">
        <v>76</v>
      </c>
    </row>
    <row r="61" spans="1:12" ht="16.5" customHeight="1" x14ac:dyDescent="0.45">
      <c r="A61" s="2"/>
      <c r="B61" s="2"/>
      <c r="D61" s="26"/>
      <c r="H61" s="18" t="s">
        <v>5</v>
      </c>
      <c r="I61" s="12"/>
      <c r="J61" s="21"/>
      <c r="K61" s="21"/>
      <c r="L61" s="21" t="s">
        <v>77</v>
      </c>
    </row>
    <row r="62" spans="1:12" ht="16.5" customHeight="1" x14ac:dyDescent="0.45">
      <c r="A62" s="2"/>
      <c r="B62" s="2"/>
      <c r="D62" s="26"/>
      <c r="H62" s="18" t="s">
        <v>5</v>
      </c>
      <c r="I62" s="12"/>
      <c r="J62" s="21"/>
      <c r="K62" s="21"/>
      <c r="L62" s="23" t="s">
        <v>78</v>
      </c>
    </row>
    <row r="63" spans="1:12" ht="16.5" customHeight="1" x14ac:dyDescent="0.45">
      <c r="A63" s="2"/>
      <c r="B63" s="2"/>
      <c r="D63" s="26"/>
      <c r="H63" s="18" t="s">
        <v>5</v>
      </c>
      <c r="I63" s="12"/>
      <c r="J63" s="21"/>
      <c r="K63" s="21"/>
      <c r="L63" s="21" t="s">
        <v>79</v>
      </c>
    </row>
    <row r="64" spans="1:12" ht="16.5" customHeight="1" x14ac:dyDescent="0.45">
      <c r="A64" s="2"/>
      <c r="B64" s="2"/>
      <c r="D64" s="26"/>
      <c r="H64" s="18" t="s">
        <v>5</v>
      </c>
      <c r="I64" s="12"/>
      <c r="J64" s="21"/>
      <c r="K64" s="21"/>
      <c r="L64" s="21" t="s">
        <v>80</v>
      </c>
    </row>
    <row r="65" spans="1:12" ht="16.5" customHeight="1" x14ac:dyDescent="0.45">
      <c r="A65" s="2"/>
      <c r="B65" s="2"/>
      <c r="D65" s="26"/>
      <c r="H65" s="18" t="s">
        <v>5</v>
      </c>
      <c r="I65" s="12"/>
      <c r="J65" s="21"/>
      <c r="K65" s="21"/>
      <c r="L65" s="21" t="s">
        <v>81</v>
      </c>
    </row>
    <row r="66" spans="1:12" ht="16.5" customHeight="1" x14ac:dyDescent="0.45">
      <c r="A66" s="2"/>
      <c r="B66" s="2"/>
      <c r="D66" s="26"/>
      <c r="H66" s="18" t="s">
        <v>5</v>
      </c>
      <c r="I66" s="12"/>
      <c r="J66" s="21"/>
      <c r="K66" s="21"/>
      <c r="L66" s="21" t="s">
        <v>82</v>
      </c>
    </row>
    <row r="67" spans="1:12" ht="16.5" customHeight="1" x14ac:dyDescent="0.45">
      <c r="A67" s="2"/>
      <c r="B67" s="2"/>
      <c r="D67" s="26"/>
      <c r="H67" s="18" t="s">
        <v>5</v>
      </c>
      <c r="I67" s="12"/>
      <c r="J67" s="21"/>
      <c r="K67" s="21"/>
      <c r="L67" s="21" t="s">
        <v>83</v>
      </c>
    </row>
    <row r="68" spans="1:12" ht="16.5" customHeight="1" x14ac:dyDescent="0.45">
      <c r="A68" s="2"/>
      <c r="B68" s="2"/>
      <c r="D68" s="26"/>
      <c r="H68" s="18" t="s">
        <v>5</v>
      </c>
      <c r="I68" s="12"/>
      <c r="J68" s="21"/>
      <c r="K68" s="21"/>
      <c r="L68" s="21" t="s">
        <v>84</v>
      </c>
    </row>
    <row r="69" spans="1:12" ht="16.5" customHeight="1" x14ac:dyDescent="0.45">
      <c r="A69" s="2"/>
      <c r="B69" s="2"/>
      <c r="D69" s="26"/>
      <c r="H69" s="18" t="s">
        <v>5</v>
      </c>
      <c r="I69" s="12"/>
      <c r="J69" s="21"/>
      <c r="K69" s="21"/>
      <c r="L69" s="21" t="s">
        <v>85</v>
      </c>
    </row>
    <row r="70" spans="1:12" ht="16.5" customHeight="1" x14ac:dyDescent="0.45">
      <c r="A70" s="2"/>
      <c r="B70" s="2"/>
      <c r="C70" s="1"/>
      <c r="D70" s="26"/>
      <c r="H70" s="18" t="s">
        <v>5</v>
      </c>
      <c r="I70" s="12"/>
      <c r="J70" s="21"/>
      <c r="K70" s="21"/>
      <c r="L70" s="21" t="s">
        <v>86</v>
      </c>
    </row>
    <row r="71" spans="1:12" ht="16.5" customHeight="1" x14ac:dyDescent="0.45">
      <c r="A71" s="2"/>
      <c r="B71" s="2"/>
      <c r="D71" s="26"/>
      <c r="H71" s="27" t="s">
        <v>5</v>
      </c>
      <c r="I71" s="12"/>
      <c r="J71" s="21"/>
      <c r="K71" s="21"/>
      <c r="L71" s="21" t="s">
        <v>87</v>
      </c>
    </row>
    <row r="72" spans="1:12" ht="16.5" customHeight="1" x14ac:dyDescent="0.45">
      <c r="A72" s="2"/>
      <c r="B72" s="2"/>
      <c r="D72" s="26"/>
      <c r="H72" s="27" t="s">
        <v>5</v>
      </c>
      <c r="I72" s="12"/>
      <c r="J72" s="21"/>
      <c r="K72" s="21"/>
      <c r="L72" s="21" t="s">
        <v>88</v>
      </c>
    </row>
    <row r="73" spans="1:12" ht="16.5" customHeight="1" x14ac:dyDescent="0.45">
      <c r="A73" s="2"/>
      <c r="B73" s="2"/>
      <c r="D73" s="26"/>
      <c r="H73" s="27" t="s">
        <v>5</v>
      </c>
      <c r="I73" s="12"/>
      <c r="J73" s="21"/>
      <c r="K73" s="21"/>
      <c r="L73" s="21" t="s">
        <v>89</v>
      </c>
    </row>
    <row r="74" spans="1:12" ht="16.5" customHeight="1" x14ac:dyDescent="0.45">
      <c r="A74" s="2"/>
      <c r="B74" s="2"/>
      <c r="C74" s="1"/>
      <c r="D74" s="26"/>
      <c r="H74" s="27" t="s">
        <v>5</v>
      </c>
      <c r="I74" s="12"/>
      <c r="J74" s="21"/>
      <c r="K74" s="21"/>
      <c r="L74" s="21" t="s">
        <v>90</v>
      </c>
    </row>
    <row r="75" spans="1:12" ht="16.5" customHeight="1" x14ac:dyDescent="0.45">
      <c r="A75" s="2"/>
      <c r="B75" s="2"/>
      <c r="D75" s="26"/>
      <c r="H75" s="27" t="s">
        <v>5</v>
      </c>
      <c r="I75" s="12"/>
      <c r="J75" s="21"/>
      <c r="K75" s="21"/>
      <c r="L75" s="21" t="s">
        <v>91</v>
      </c>
    </row>
    <row r="76" spans="1:12" ht="16.5" customHeight="1" x14ac:dyDescent="0.45">
      <c r="A76" s="2"/>
      <c r="B76" s="2"/>
      <c r="C76" s="1"/>
      <c r="D76" s="26"/>
      <c r="H76" s="27" t="s">
        <v>5</v>
      </c>
      <c r="I76" s="12"/>
      <c r="J76" s="21"/>
      <c r="K76" s="21"/>
      <c r="L76" s="21" t="s">
        <v>92</v>
      </c>
    </row>
    <row r="77" spans="1:12" ht="16.5" customHeight="1" x14ac:dyDescent="0.45">
      <c r="A77"/>
      <c r="B77" s="2"/>
      <c r="D77" s="26"/>
      <c r="H77" s="27" t="s">
        <v>5</v>
      </c>
      <c r="I77" s="12"/>
      <c r="J77" s="21"/>
      <c r="K77" s="21"/>
      <c r="L77" s="21" t="s">
        <v>93</v>
      </c>
    </row>
    <row r="78" spans="1:12" ht="16.5" customHeight="1" x14ac:dyDescent="0.45">
      <c r="A78"/>
      <c r="B78" s="2"/>
      <c r="D78" s="26"/>
      <c r="H78" s="27" t="s">
        <v>5</v>
      </c>
      <c r="I78" s="12"/>
      <c r="J78" s="21"/>
      <c r="K78" s="21"/>
      <c r="L78" s="21" t="s">
        <v>94</v>
      </c>
    </row>
    <row r="79" spans="1:12" ht="16.5" customHeight="1" x14ac:dyDescent="0.45">
      <c r="A79"/>
      <c r="B79" s="2"/>
      <c r="D79" s="26"/>
      <c r="H79" s="27" t="s">
        <v>5</v>
      </c>
      <c r="I79" s="12"/>
      <c r="J79" s="21"/>
      <c r="K79" s="21"/>
      <c r="L79" s="21" t="s">
        <v>95</v>
      </c>
    </row>
    <row r="80" spans="1:12" ht="16.5" customHeight="1" x14ac:dyDescent="0.45">
      <c r="A80"/>
      <c r="B80" s="2"/>
      <c r="D80" s="26"/>
      <c r="H80" s="27" t="s">
        <v>5</v>
      </c>
      <c r="I80" s="12"/>
      <c r="J80" s="21"/>
      <c r="K80" s="21"/>
      <c r="L80" s="21" t="s">
        <v>96</v>
      </c>
    </row>
    <row r="81" spans="1:12" ht="15.75" customHeight="1" x14ac:dyDescent="0.45">
      <c r="A81"/>
      <c r="B81" s="2"/>
      <c r="C81" s="1"/>
      <c r="D81" s="26"/>
      <c r="H81" s="27" t="s">
        <v>5</v>
      </c>
      <c r="I81" s="12"/>
      <c r="J81" s="21"/>
      <c r="K81" s="21"/>
      <c r="L81" s="21" t="s">
        <v>97</v>
      </c>
    </row>
    <row r="82" spans="1:12" ht="16.5" customHeight="1" x14ac:dyDescent="0.45">
      <c r="A82"/>
      <c r="B82" s="2"/>
      <c r="D82" s="26"/>
      <c r="H82" s="27" t="s">
        <v>5</v>
      </c>
      <c r="I82" s="12"/>
      <c r="J82" s="21"/>
      <c r="K82" s="21"/>
      <c r="L82" s="21" t="s">
        <v>98</v>
      </c>
    </row>
    <row r="83" spans="1:12" ht="16.5" customHeight="1" x14ac:dyDescent="0.45">
      <c r="A83"/>
      <c r="B83" s="2"/>
      <c r="D83" s="26"/>
      <c r="H83" s="27" t="s">
        <v>5</v>
      </c>
      <c r="I83" s="12"/>
      <c r="J83" s="21"/>
      <c r="K83" s="21"/>
      <c r="L83" s="21" t="s">
        <v>99</v>
      </c>
    </row>
    <row r="84" spans="1:12" ht="16.5" customHeight="1" x14ac:dyDescent="0.45">
      <c r="A84" s="2"/>
      <c r="B84" s="2"/>
      <c r="D84" s="26"/>
      <c r="H84" s="27"/>
      <c r="I84" s="12"/>
      <c r="J84" s="21"/>
      <c r="K84" s="21"/>
      <c r="L84" s="21"/>
    </row>
    <row r="85" spans="1:12" ht="16.5" customHeight="1" x14ac:dyDescent="0.45">
      <c r="A85" s="2"/>
      <c r="B85" s="2"/>
      <c r="D85" s="26"/>
      <c r="H85" s="27"/>
      <c r="I85" s="12"/>
      <c r="J85" s="21"/>
      <c r="K85" s="21"/>
      <c r="L85" s="21"/>
    </row>
    <row r="86" spans="1:12" ht="16.5" customHeight="1" x14ac:dyDescent="0.45">
      <c r="A86" s="2"/>
      <c r="B86" s="2"/>
      <c r="D86" s="26"/>
      <c r="H86" s="27"/>
      <c r="I86" s="12"/>
      <c r="J86" s="21"/>
      <c r="K86" s="21"/>
      <c r="L86" s="21"/>
    </row>
    <row r="87" spans="1:12" ht="16.5" customHeight="1" x14ac:dyDescent="0.45">
      <c r="A87" s="2"/>
      <c r="B87" s="2"/>
      <c r="D87" s="26"/>
      <c r="H87" s="27"/>
      <c r="I87" s="12"/>
      <c r="J87" s="21"/>
      <c r="K87" s="21"/>
      <c r="L87" s="21"/>
    </row>
    <row r="88" spans="1:12" ht="16.5" customHeight="1" x14ac:dyDescent="0.45">
      <c r="A88" s="2"/>
      <c r="B88" s="2"/>
      <c r="D88" s="26"/>
      <c r="H88" s="27"/>
      <c r="I88" s="12"/>
      <c r="J88" s="21"/>
      <c r="K88" s="21"/>
      <c r="L88" s="21"/>
    </row>
    <row r="89" spans="1:12" ht="16.5" customHeight="1" x14ac:dyDescent="0.45">
      <c r="A89" s="2"/>
      <c r="B89" s="2"/>
      <c r="D89" s="26"/>
      <c r="H89" s="27"/>
      <c r="I89" s="12"/>
      <c r="J89" s="21"/>
      <c r="K89" s="21"/>
      <c r="L89" s="21"/>
    </row>
    <row r="90" spans="1:12" ht="16.5" customHeight="1" x14ac:dyDescent="0.45">
      <c r="A90" s="2"/>
      <c r="B90" s="2"/>
      <c r="D90" s="28"/>
      <c r="H90" s="27"/>
      <c r="I90" s="12"/>
      <c r="J90" s="21"/>
      <c r="K90" s="21"/>
      <c r="L90" s="21"/>
    </row>
    <row r="91" spans="1:12" ht="16.5" customHeight="1" x14ac:dyDescent="0.45">
      <c r="A91" s="2"/>
      <c r="B91" s="2"/>
      <c r="D91" s="26"/>
      <c r="H91" s="27"/>
      <c r="I91" s="12"/>
      <c r="J91" s="21"/>
      <c r="K91" s="21"/>
      <c r="L91" s="21"/>
    </row>
    <row r="92" spans="1:12" ht="16.5" customHeight="1" x14ac:dyDescent="0.45">
      <c r="A92" s="2"/>
      <c r="B92" s="2"/>
      <c r="D92" s="26"/>
      <c r="H92" s="27"/>
      <c r="I92" s="12"/>
      <c r="J92" s="21"/>
      <c r="K92" s="21"/>
      <c r="L92" s="21"/>
    </row>
    <row r="93" spans="1:12" ht="16.5" customHeight="1" x14ac:dyDescent="0.45">
      <c r="A93" s="2"/>
      <c r="B93" s="2"/>
      <c r="D93" s="26"/>
      <c r="H93" s="27"/>
      <c r="I93" s="12"/>
      <c r="J93" s="21"/>
      <c r="K93" s="21"/>
      <c r="L93" s="21"/>
    </row>
    <row r="94" spans="1:12" ht="16.5" customHeight="1" x14ac:dyDescent="0.45">
      <c r="A94" s="2"/>
      <c r="B94" s="2"/>
      <c r="D94" s="26"/>
      <c r="H94" s="27"/>
      <c r="I94" s="12"/>
      <c r="J94" s="21"/>
      <c r="K94" s="21"/>
      <c r="L94" s="21"/>
    </row>
    <row r="95" spans="1:12" ht="16.5" customHeight="1" x14ac:dyDescent="0.45">
      <c r="B95" s="2"/>
      <c r="D95" s="26"/>
      <c r="H95" s="27"/>
      <c r="I95" s="12"/>
      <c r="J95" s="21"/>
      <c r="K95" s="21"/>
      <c r="L95" s="21"/>
    </row>
    <row r="96" spans="1:12" ht="16.5" customHeight="1" x14ac:dyDescent="0.45">
      <c r="B96" s="2"/>
      <c r="D96" s="26"/>
      <c r="H96" s="27"/>
      <c r="I96" s="12"/>
      <c r="J96" s="21"/>
      <c r="K96" s="21"/>
      <c r="L96" s="21"/>
    </row>
    <row r="97" spans="2:12" ht="16.5" customHeight="1" x14ac:dyDescent="0.45">
      <c r="B97" s="2"/>
      <c r="D97" s="26"/>
      <c r="H97" s="27"/>
      <c r="I97" s="12"/>
      <c r="J97" s="21"/>
      <c r="K97" s="21"/>
      <c r="L97" s="21"/>
    </row>
    <row r="98" spans="2:12" ht="16.5" customHeight="1" x14ac:dyDescent="0.45">
      <c r="B98" s="2"/>
      <c r="D98" s="26"/>
      <c r="H98" s="27"/>
      <c r="I98" s="12"/>
      <c r="J98" s="21"/>
      <c r="K98" s="21"/>
      <c r="L98" s="23"/>
    </row>
    <row r="99" spans="2:12" ht="16.5" customHeight="1" x14ac:dyDescent="0.45">
      <c r="B99" s="2"/>
      <c r="D99" s="26"/>
      <c r="H99" s="27"/>
      <c r="I99" s="12"/>
      <c r="J99" s="21"/>
      <c r="K99" s="21"/>
      <c r="L99" s="23"/>
    </row>
    <row r="100" spans="2:12" ht="16.5" customHeight="1" x14ac:dyDescent="0.45">
      <c r="B100" s="2"/>
      <c r="D100" s="26"/>
      <c r="H100" s="27"/>
      <c r="I100" s="12"/>
      <c r="J100" s="21"/>
      <c r="K100" s="21"/>
      <c r="L100" s="21"/>
    </row>
    <row r="101" spans="2:12" ht="16.5" customHeight="1" x14ac:dyDescent="0.45">
      <c r="B101" s="2"/>
      <c r="D101" s="26"/>
      <c r="H101" s="27"/>
      <c r="I101" s="12"/>
      <c r="J101" s="21"/>
      <c r="K101" s="21"/>
      <c r="L101" s="21"/>
    </row>
    <row r="102" spans="2:12" ht="16.5" customHeight="1" x14ac:dyDescent="0.45">
      <c r="B102" s="2"/>
      <c r="H102" s="27"/>
      <c r="I102" s="12"/>
      <c r="J102" s="21"/>
      <c r="K102" s="21"/>
      <c r="L102" s="21"/>
    </row>
    <row r="103" spans="2:12" ht="16.5" customHeight="1" x14ac:dyDescent="0.45">
      <c r="B103" s="2"/>
      <c r="G103" s="1"/>
      <c r="H103" s="27"/>
      <c r="I103" s="12"/>
      <c r="J103" s="21"/>
      <c r="K103" s="21"/>
      <c r="L103" s="21"/>
    </row>
    <row r="104" spans="2:12" ht="16.5" customHeight="1" x14ac:dyDescent="0.45">
      <c r="B104" s="2"/>
      <c r="H104" s="27"/>
      <c r="I104" s="12"/>
      <c r="J104" s="21"/>
      <c r="K104" s="21"/>
      <c r="L104" s="21"/>
    </row>
    <row r="105" spans="2:12" ht="16.5" customHeight="1" x14ac:dyDescent="0.45">
      <c r="B105" s="2"/>
      <c r="H105" s="27"/>
      <c r="I105" s="12"/>
      <c r="J105" s="21"/>
      <c r="K105" s="21"/>
      <c r="L105" s="21"/>
    </row>
    <row r="106" spans="2:12" ht="16.5" customHeight="1" x14ac:dyDescent="0.45">
      <c r="B106" s="2"/>
      <c r="H106" s="27"/>
      <c r="I106" s="12"/>
      <c r="J106" s="21"/>
      <c r="K106" s="21"/>
      <c r="L106" s="21"/>
    </row>
    <row r="107" spans="2:12" ht="16.5" customHeight="1" x14ac:dyDescent="0.45">
      <c r="B107" s="2"/>
      <c r="G107" s="1"/>
      <c r="H107" s="27"/>
      <c r="I107" s="12"/>
      <c r="J107" s="21"/>
      <c r="K107" s="21"/>
      <c r="L107" s="21"/>
    </row>
    <row r="108" spans="2:12" ht="16.5" customHeight="1" x14ac:dyDescent="0.45">
      <c r="B108" s="2"/>
      <c r="G108" s="1"/>
      <c r="H108" s="27"/>
      <c r="I108" s="12"/>
      <c r="J108" s="21"/>
      <c r="K108" s="21"/>
      <c r="L108" s="21"/>
    </row>
    <row r="109" spans="2:12" ht="16.5" customHeight="1" x14ac:dyDescent="0.45">
      <c r="B109" s="2"/>
      <c r="G109" s="1"/>
      <c r="H109" s="27"/>
      <c r="I109" s="12"/>
      <c r="J109" s="21"/>
      <c r="K109" s="21"/>
      <c r="L109" s="21"/>
    </row>
    <row r="110" spans="2:12" ht="16.5" customHeight="1" x14ac:dyDescent="0.45">
      <c r="B110" s="2"/>
      <c r="G110" s="1"/>
      <c r="H110" s="27"/>
      <c r="I110" s="12"/>
      <c r="J110" s="21"/>
      <c r="K110" s="21"/>
      <c r="L110" s="21"/>
    </row>
    <row r="111" spans="2:12" ht="16.5" customHeight="1" x14ac:dyDescent="0.45">
      <c r="B111" s="2"/>
      <c r="H111" s="27"/>
      <c r="I111" s="12"/>
      <c r="J111" s="21"/>
      <c r="K111" s="21"/>
      <c r="L111" s="21"/>
    </row>
    <row r="112" spans="2:12" ht="16.5" customHeight="1" x14ac:dyDescent="0.45">
      <c r="B112" s="2"/>
      <c r="G112" s="1"/>
      <c r="H112" s="27"/>
      <c r="I112" s="12"/>
      <c r="J112" s="21"/>
      <c r="K112" s="21"/>
      <c r="L112" s="21"/>
    </row>
    <row r="113" spans="2:12" ht="16.5" customHeight="1" x14ac:dyDescent="0.45">
      <c r="B113" s="2"/>
      <c r="G113" s="1"/>
      <c r="H113" s="27"/>
      <c r="I113" s="12"/>
      <c r="J113" s="21"/>
      <c r="K113" s="21"/>
      <c r="L113" s="21"/>
    </row>
    <row r="114" spans="2:12" ht="16.5" customHeight="1" x14ac:dyDescent="0.45">
      <c r="B114" s="2"/>
      <c r="G114" s="1"/>
      <c r="H114" s="27"/>
      <c r="I114" s="12"/>
      <c r="J114" s="21"/>
      <c r="K114" s="21"/>
      <c r="L114" s="21"/>
    </row>
    <row r="115" spans="2:12" ht="16.5" customHeight="1" x14ac:dyDescent="0.45">
      <c r="B115" s="2"/>
      <c r="G115" s="1"/>
      <c r="H115" s="27"/>
      <c r="I115" s="12"/>
      <c r="J115" s="21"/>
      <c r="K115" s="21"/>
      <c r="L115" s="21"/>
    </row>
    <row r="116" spans="2:12" ht="16.5" customHeight="1" x14ac:dyDescent="0.45">
      <c r="B116" s="2"/>
      <c r="H116" s="27"/>
      <c r="I116" s="12"/>
      <c r="J116" s="21"/>
      <c r="K116" s="21"/>
      <c r="L116" s="21"/>
    </row>
    <row r="117" spans="2:12" ht="16.5" customHeight="1" x14ac:dyDescent="0.45">
      <c r="B117" s="2"/>
      <c r="H117" s="27"/>
      <c r="I117" s="12"/>
      <c r="J117" s="21"/>
      <c r="K117" s="21"/>
      <c r="L117" s="21"/>
    </row>
    <row r="118" spans="2:12" ht="16.5" customHeight="1" x14ac:dyDescent="0.45">
      <c r="B118" s="2"/>
      <c r="G118" s="1"/>
      <c r="H118" s="27"/>
      <c r="I118" s="12"/>
      <c r="J118" s="21"/>
      <c r="K118" s="21"/>
      <c r="L118" s="21"/>
    </row>
    <row r="119" spans="2:12" ht="16.5" customHeight="1" x14ac:dyDescent="0.45">
      <c r="B119" s="2"/>
      <c r="H119" s="27"/>
      <c r="I119" s="12"/>
      <c r="J119" s="21"/>
      <c r="K119" s="21"/>
      <c r="L119" s="21"/>
    </row>
    <row r="120" spans="2:12" ht="16.5" customHeight="1" x14ac:dyDescent="0.45">
      <c r="B120" s="2"/>
      <c r="H120" s="27"/>
      <c r="I120" s="12"/>
      <c r="J120" s="21"/>
      <c r="K120" s="21"/>
      <c r="L120" s="21"/>
    </row>
    <row r="121" spans="2:12" ht="16.5" customHeight="1" x14ac:dyDescent="0.45">
      <c r="B121" s="2"/>
      <c r="H121" s="27"/>
      <c r="I121" s="12"/>
      <c r="J121" s="21"/>
      <c r="K121" s="21"/>
      <c r="L121" s="21"/>
    </row>
    <row r="122" spans="2:12" ht="16.5" customHeight="1" x14ac:dyDescent="0.45">
      <c r="B122" s="2"/>
      <c r="H122" s="27"/>
      <c r="I122" s="12"/>
      <c r="J122" s="21"/>
      <c r="K122" s="21"/>
      <c r="L122" s="21"/>
    </row>
    <row r="123" spans="2:12" ht="16.5" customHeight="1" x14ac:dyDescent="0.45">
      <c r="B123" s="2"/>
      <c r="H123" s="27"/>
      <c r="I123" s="12"/>
      <c r="J123" s="21"/>
      <c r="K123" s="21"/>
      <c r="L123" s="21"/>
    </row>
    <row r="124" spans="2:12" ht="16.5" customHeight="1" x14ac:dyDescent="0.45">
      <c r="B124" s="2"/>
      <c r="H124" s="27"/>
      <c r="I124" s="12"/>
      <c r="J124" s="21"/>
      <c r="K124" s="21"/>
      <c r="L124" s="21"/>
    </row>
    <row r="125" spans="2:12" ht="16.5" customHeight="1" x14ac:dyDescent="0.45">
      <c r="B125" s="2"/>
      <c r="H125" s="27"/>
      <c r="I125" s="12"/>
      <c r="J125" s="21"/>
      <c r="K125" s="21"/>
      <c r="L125" s="21"/>
    </row>
    <row r="126" spans="2:12" ht="16.5" customHeight="1" x14ac:dyDescent="0.45">
      <c r="B126" s="2"/>
      <c r="H126" s="27"/>
      <c r="I126" s="12"/>
      <c r="J126" s="21"/>
      <c r="K126" s="21"/>
      <c r="L126" s="21"/>
    </row>
    <row r="127" spans="2:12" ht="16.5" customHeight="1" x14ac:dyDescent="0.45">
      <c r="B127" s="2"/>
      <c r="H127" s="27"/>
      <c r="I127" s="12"/>
      <c r="J127" s="21"/>
      <c r="K127" s="21"/>
      <c r="L127" s="21"/>
    </row>
    <row r="128" spans="2:12" ht="16.5" customHeight="1" x14ac:dyDescent="0.45">
      <c r="B128" s="2"/>
      <c r="H128" s="27"/>
      <c r="I128" s="12"/>
      <c r="J128" s="21"/>
      <c r="K128" s="21"/>
      <c r="L128" s="21"/>
    </row>
    <row r="129" spans="2:12" ht="16.5" customHeight="1" x14ac:dyDescent="0.45">
      <c r="B129" s="2"/>
      <c r="H129" s="27"/>
      <c r="I129" s="12"/>
      <c r="J129" s="21"/>
      <c r="K129" s="21"/>
      <c r="L129" s="21"/>
    </row>
    <row r="130" spans="2:12" ht="16.5" customHeight="1" x14ac:dyDescent="0.45">
      <c r="B130" s="2"/>
      <c r="H130" s="27"/>
      <c r="I130" s="12"/>
      <c r="J130" s="21"/>
      <c r="K130" s="21"/>
      <c r="L130" s="21"/>
    </row>
    <row r="131" spans="2:12" ht="16.5" customHeight="1" x14ac:dyDescent="0.45">
      <c r="B131" s="2"/>
      <c r="H131" s="27"/>
      <c r="I131" s="12"/>
      <c r="J131" s="21"/>
      <c r="K131" s="21"/>
      <c r="L131" s="21"/>
    </row>
    <row r="132" spans="2:12" ht="16.5" customHeight="1" x14ac:dyDescent="0.45">
      <c r="B132" s="2"/>
      <c r="G132" s="1"/>
      <c r="H132" s="27"/>
      <c r="I132" s="12"/>
      <c r="J132" s="21"/>
      <c r="K132" s="21"/>
      <c r="L132" s="21"/>
    </row>
    <row r="133" spans="2:12" ht="16.5" customHeight="1" x14ac:dyDescent="0.45">
      <c r="B133" s="2"/>
      <c r="G133" s="1"/>
      <c r="H133" s="27"/>
      <c r="I133" s="12"/>
      <c r="J133" s="21"/>
      <c r="K133" s="21"/>
      <c r="L133" s="21"/>
    </row>
    <row r="134" spans="2:12" ht="16.5" customHeight="1" x14ac:dyDescent="0.45">
      <c r="B134" s="2"/>
      <c r="G134" s="1"/>
      <c r="H134" s="27"/>
      <c r="I134" s="12"/>
      <c r="J134" s="21"/>
      <c r="K134" s="21"/>
      <c r="L134" s="23"/>
    </row>
    <row r="135" spans="2:12" ht="16.5" customHeight="1" x14ac:dyDescent="0.45">
      <c r="B135" s="2"/>
      <c r="C135" s="1"/>
      <c r="D135" s="1"/>
      <c r="G135" s="1"/>
      <c r="H135" s="27"/>
      <c r="I135" s="12"/>
      <c r="J135" s="21"/>
      <c r="K135" s="21"/>
      <c r="L135" s="21"/>
    </row>
    <row r="136" spans="2:12" ht="16.5" customHeight="1" x14ac:dyDescent="0.45">
      <c r="B136" s="2"/>
      <c r="C136" s="1"/>
      <c r="D136" s="1"/>
      <c r="G136" s="1"/>
      <c r="H136" s="27"/>
      <c r="I136" s="12"/>
      <c r="J136" s="21"/>
      <c r="K136" s="21"/>
      <c r="L136" s="21"/>
    </row>
    <row r="137" spans="2:12" ht="16.5" customHeight="1" x14ac:dyDescent="0.45">
      <c r="B137" s="2"/>
      <c r="C137" s="1"/>
      <c r="D137" s="1"/>
      <c r="G137" s="1"/>
      <c r="H137" s="27"/>
      <c r="I137" s="12"/>
      <c r="J137" s="21"/>
      <c r="K137" s="21"/>
      <c r="L137" s="21"/>
    </row>
    <row r="138" spans="2:12" ht="16.5" customHeight="1" x14ac:dyDescent="0.45">
      <c r="B138" s="2"/>
      <c r="G138" s="1"/>
      <c r="H138" s="27"/>
      <c r="I138" s="12"/>
      <c r="J138" s="21"/>
      <c r="K138" s="21"/>
      <c r="L138" s="21"/>
    </row>
    <row r="139" spans="2:12" ht="16.5" customHeight="1" x14ac:dyDescent="0.45">
      <c r="B139" s="2"/>
      <c r="G139" s="1"/>
      <c r="H139" s="27"/>
      <c r="I139" s="12"/>
      <c r="J139" s="21"/>
      <c r="K139" s="21"/>
      <c r="L139" s="21"/>
    </row>
    <row r="140" spans="2:12" ht="16.5" customHeight="1" x14ac:dyDescent="0.45">
      <c r="B140" s="2"/>
      <c r="G140" s="1"/>
      <c r="H140" s="27"/>
      <c r="I140" s="12"/>
      <c r="J140" s="21"/>
      <c r="K140" s="21"/>
      <c r="L140" s="21"/>
    </row>
    <row r="141" spans="2:12" ht="16.5" customHeight="1" x14ac:dyDescent="0.45">
      <c r="B141" s="2"/>
      <c r="G141" s="1"/>
      <c r="H141" s="27"/>
      <c r="I141" s="12"/>
      <c r="J141" s="21"/>
      <c r="K141" s="21"/>
      <c r="L141" s="21"/>
    </row>
    <row r="142" spans="2:12" ht="16.5" customHeight="1" x14ac:dyDescent="0.45">
      <c r="B142" s="2"/>
      <c r="G142" s="1"/>
      <c r="H142" s="27"/>
      <c r="I142" s="12"/>
      <c r="J142" s="21"/>
      <c r="K142" s="21"/>
      <c r="L142" s="21"/>
    </row>
    <row r="143" spans="2:12" ht="16.5" customHeight="1" x14ac:dyDescent="0.45">
      <c r="B143" s="2"/>
      <c r="H143" s="27"/>
      <c r="I143" s="12"/>
      <c r="J143" s="21"/>
      <c r="K143" s="21"/>
      <c r="L143" s="21"/>
    </row>
    <row r="144" spans="2:12" ht="16.5" customHeight="1" x14ac:dyDescent="0.45">
      <c r="B144" s="2"/>
      <c r="H144" s="27"/>
      <c r="I144" s="12"/>
      <c r="J144" s="21"/>
      <c r="K144" s="21"/>
      <c r="L144" s="21"/>
    </row>
    <row r="145" spans="1:12" ht="16.5" customHeight="1" x14ac:dyDescent="0.45">
      <c r="B145" s="2"/>
      <c r="H145" s="27"/>
      <c r="I145" s="12"/>
      <c r="J145" s="21"/>
      <c r="K145" s="21"/>
      <c r="L145" s="21"/>
    </row>
    <row r="146" spans="1:12" ht="16.5" customHeight="1" x14ac:dyDescent="0.45">
      <c r="B146" s="2"/>
      <c r="H146" s="27"/>
      <c r="I146" s="12"/>
      <c r="J146" s="21"/>
      <c r="K146" s="21"/>
      <c r="L146" s="23"/>
    </row>
    <row r="147" spans="1:12" ht="16.5" customHeight="1" x14ac:dyDescent="0.45">
      <c r="B147" s="2"/>
      <c r="G147" s="1"/>
      <c r="H147" s="27"/>
      <c r="I147" s="12"/>
      <c r="J147" s="21"/>
      <c r="K147" s="21"/>
      <c r="L147" s="23"/>
    </row>
    <row r="148" spans="1:12" ht="16.5" customHeight="1" x14ac:dyDescent="0.45">
      <c r="B148" s="2"/>
      <c r="H148" s="27"/>
      <c r="I148" s="12"/>
      <c r="J148" s="21"/>
      <c r="K148" s="21"/>
      <c r="L148" s="21"/>
    </row>
    <row r="149" spans="1:12" ht="16.5" customHeight="1" x14ac:dyDescent="0.45">
      <c r="B149" s="2"/>
      <c r="H149" s="27"/>
      <c r="I149" s="12"/>
      <c r="J149" s="21"/>
      <c r="K149" s="21"/>
      <c r="L149" s="21"/>
    </row>
    <row r="150" spans="1:12" ht="16.5" customHeight="1" x14ac:dyDescent="0.45">
      <c r="A150" s="2"/>
      <c r="B150" s="2"/>
      <c r="H150" s="27"/>
      <c r="J150" s="21"/>
      <c r="K150" s="21"/>
      <c r="L150" s="21"/>
    </row>
    <row r="151" spans="1:12" ht="16.5" customHeight="1" x14ac:dyDescent="0.45">
      <c r="A151" s="2"/>
      <c r="B151" s="2"/>
      <c r="H151" s="27"/>
      <c r="J151" s="21"/>
      <c r="K151" s="21"/>
      <c r="L151" s="21"/>
    </row>
    <row r="152" spans="1:12" ht="16.5" customHeight="1" x14ac:dyDescent="0.45">
      <c r="H152" s="27"/>
      <c r="J152" s="21"/>
      <c r="K152" s="21"/>
      <c r="L152" s="21"/>
    </row>
    <row r="153" spans="1:12" ht="16.5" customHeight="1" x14ac:dyDescent="0.45">
      <c r="H153" s="27"/>
      <c r="J153" s="21"/>
      <c r="K153" s="21"/>
      <c r="L153" s="21"/>
    </row>
    <row r="154" spans="1:12" ht="16.5" customHeight="1" x14ac:dyDescent="0.45">
      <c r="H154" s="27"/>
      <c r="J154" s="21"/>
      <c r="K154" s="21"/>
      <c r="L154" s="21"/>
    </row>
    <row r="155" spans="1:12" ht="16.5" customHeight="1" x14ac:dyDescent="0.45">
      <c r="H155" s="27"/>
      <c r="J155" s="21"/>
      <c r="K155" s="21"/>
      <c r="L155" s="21"/>
    </row>
    <row r="156" spans="1:12" ht="16.5" customHeight="1" x14ac:dyDescent="0.45">
      <c r="J156" s="21"/>
      <c r="K156" s="21"/>
      <c r="L156" s="21"/>
    </row>
    <row r="157" spans="1:12" ht="16.5" customHeight="1" x14ac:dyDescent="0.45">
      <c r="J157" s="21"/>
      <c r="K157" s="21"/>
      <c r="L157" s="21"/>
    </row>
    <row r="158" spans="1:12" ht="16.5" customHeight="1" x14ac:dyDescent="0.45">
      <c r="J158" s="21"/>
      <c r="K158" s="21"/>
      <c r="L158" s="21"/>
    </row>
    <row r="159" spans="1:12" ht="16.5" customHeight="1" x14ac:dyDescent="0.45">
      <c r="J159" s="21"/>
      <c r="K159" s="21"/>
      <c r="L159" s="21"/>
    </row>
    <row r="160" spans="1:12" ht="16.5" customHeight="1" x14ac:dyDescent="0.45">
      <c r="J160" s="21"/>
      <c r="K160" s="21"/>
      <c r="L160" s="21"/>
    </row>
    <row r="161" spans="10:12" ht="16.5" customHeight="1" x14ac:dyDescent="0.45">
      <c r="J161" s="21"/>
      <c r="K161" s="21"/>
      <c r="L161" s="21"/>
    </row>
    <row r="162" spans="10:12" ht="16.5" customHeight="1" x14ac:dyDescent="0.45">
      <c r="J162" s="21"/>
      <c r="K162" s="21"/>
      <c r="L162" s="21"/>
    </row>
    <row r="163" spans="10:12" ht="16.5" customHeight="1" x14ac:dyDescent="0.45">
      <c r="J163" s="21"/>
      <c r="K163" s="21"/>
      <c r="L163" s="21"/>
    </row>
    <row r="164" spans="10:12" ht="16.5" customHeight="1" x14ac:dyDescent="0.45">
      <c r="J164" s="21"/>
      <c r="K164" s="21"/>
      <c r="L164" s="21"/>
    </row>
    <row r="165" spans="10:12" ht="16.5" customHeight="1" x14ac:dyDescent="0.45">
      <c r="J165" s="21"/>
      <c r="K165" s="21"/>
      <c r="L165" s="21"/>
    </row>
    <row r="166" spans="10:12" ht="16.5" customHeight="1" x14ac:dyDescent="0.45">
      <c r="J166" s="21"/>
      <c r="K166" s="21"/>
      <c r="L166" s="21"/>
    </row>
    <row r="167" spans="10:12" ht="16.5" customHeight="1" x14ac:dyDescent="0.45">
      <c r="J167" s="21"/>
      <c r="K167" s="21"/>
      <c r="L167" s="21"/>
    </row>
    <row r="168" spans="10:12" ht="16.5" customHeight="1" x14ac:dyDescent="0.45">
      <c r="J168" s="21"/>
      <c r="K168" s="21"/>
      <c r="L168" s="21"/>
    </row>
    <row r="169" spans="10:12" ht="16.5" customHeight="1" x14ac:dyDescent="0.45">
      <c r="J169" s="21"/>
      <c r="K169" s="21"/>
      <c r="L169" s="21"/>
    </row>
    <row r="170" spans="10:12" ht="16.5" customHeight="1" x14ac:dyDescent="0.45">
      <c r="J170" s="21"/>
      <c r="K170" s="21"/>
      <c r="L170" s="21"/>
    </row>
    <row r="171" spans="10:12" ht="16.5" customHeight="1" x14ac:dyDescent="0.45">
      <c r="J171" s="21"/>
      <c r="K171" s="21"/>
      <c r="L171" s="21"/>
    </row>
    <row r="172" spans="10:12" ht="16.5" customHeight="1" x14ac:dyDescent="0.45">
      <c r="J172" s="21"/>
      <c r="K172" s="21"/>
      <c r="L172" s="21"/>
    </row>
    <row r="173" spans="10:12" ht="16.5" customHeight="1" x14ac:dyDescent="0.45">
      <c r="J173" s="21"/>
      <c r="K173" s="21"/>
      <c r="L173" s="21"/>
    </row>
    <row r="174" spans="10:12" ht="16.5" customHeight="1" x14ac:dyDescent="0.45">
      <c r="J174" s="21"/>
      <c r="K174" s="21"/>
      <c r="L174" s="21"/>
    </row>
    <row r="175" spans="10:12" ht="16.5" customHeight="1" x14ac:dyDescent="0.45">
      <c r="J175" s="21"/>
      <c r="K175" s="21"/>
      <c r="L175" s="21"/>
    </row>
    <row r="176" spans="10:12" ht="16.5" customHeight="1" x14ac:dyDescent="0.45">
      <c r="J176" s="21"/>
      <c r="K176" s="21"/>
      <c r="L176" s="21"/>
    </row>
    <row r="177" spans="10:12" ht="16.5" customHeight="1" x14ac:dyDescent="0.45">
      <c r="J177" s="21"/>
      <c r="K177" s="21"/>
      <c r="L177" s="21"/>
    </row>
    <row r="178" spans="10:12" ht="16.5" customHeight="1" x14ac:dyDescent="0.45">
      <c r="J178" s="21"/>
      <c r="K178" s="21"/>
      <c r="L178" s="21"/>
    </row>
    <row r="179" spans="10:12" ht="16.5" customHeight="1" x14ac:dyDescent="0.45">
      <c r="J179" s="21"/>
      <c r="K179" s="21"/>
      <c r="L179" s="21"/>
    </row>
    <row r="180" spans="10:12" ht="16.5" customHeight="1" x14ac:dyDescent="0.45">
      <c r="J180" s="21"/>
      <c r="K180" s="21"/>
      <c r="L180" s="21"/>
    </row>
    <row r="181" spans="10:12" ht="16.5" customHeight="1" x14ac:dyDescent="0.45">
      <c r="J181" s="21"/>
      <c r="K181" s="21"/>
      <c r="L181" s="21"/>
    </row>
    <row r="182" spans="10:12" ht="16.5" customHeight="1" x14ac:dyDescent="0.45">
      <c r="J182" s="21"/>
      <c r="K182" s="21"/>
      <c r="L182" s="21"/>
    </row>
    <row r="183" spans="10:12" ht="16.5" customHeight="1" x14ac:dyDescent="0.45">
      <c r="J183" s="21"/>
      <c r="K183" s="21"/>
      <c r="L183" s="21"/>
    </row>
    <row r="184" spans="10:12" ht="16.5" customHeight="1" x14ac:dyDescent="0.45">
      <c r="J184" s="21"/>
      <c r="K184" s="21"/>
      <c r="L184" s="21"/>
    </row>
    <row r="185" spans="10:12" ht="16.5" customHeight="1" x14ac:dyDescent="0.45">
      <c r="J185" s="21"/>
      <c r="K185" s="21"/>
      <c r="L185" s="21"/>
    </row>
    <row r="186" spans="10:12" ht="16.5" customHeight="1" x14ac:dyDescent="0.45">
      <c r="J186" s="21"/>
      <c r="K186" s="21"/>
      <c r="L186" s="21"/>
    </row>
    <row r="187" spans="10:12" ht="16.5" customHeight="1" x14ac:dyDescent="0.45">
      <c r="J187" s="21"/>
      <c r="K187" s="21"/>
      <c r="L187" s="21"/>
    </row>
    <row r="188" spans="10:12" ht="16.5" customHeight="1" x14ac:dyDescent="0.45">
      <c r="J188" s="21"/>
      <c r="K188" s="21"/>
      <c r="L188" s="21"/>
    </row>
    <row r="189" spans="10:12" ht="16.5" customHeight="1" x14ac:dyDescent="0.45">
      <c r="J189" s="21"/>
      <c r="K189" s="21"/>
      <c r="L189" s="21"/>
    </row>
    <row r="190" spans="10:12" ht="16.5" customHeight="1" x14ac:dyDescent="0.45">
      <c r="J190" s="21"/>
      <c r="K190" s="21"/>
      <c r="L190" s="21"/>
    </row>
    <row r="191" spans="10:12" ht="16.5" customHeight="1" x14ac:dyDescent="0.45">
      <c r="J191" s="21"/>
      <c r="K191" s="21"/>
      <c r="L191" s="21"/>
    </row>
    <row r="192" spans="10:12" ht="16.5" customHeight="1" x14ac:dyDescent="0.45">
      <c r="J192" s="21"/>
      <c r="K192" s="21"/>
      <c r="L192" s="21"/>
    </row>
    <row r="193" spans="10:12" ht="16.5" customHeight="1" x14ac:dyDescent="0.45">
      <c r="J193" s="21"/>
      <c r="K193" s="21"/>
      <c r="L193" s="21"/>
    </row>
    <row r="194" spans="10:12" ht="16.5" customHeight="1" x14ac:dyDescent="0.45">
      <c r="J194" s="21"/>
      <c r="K194" s="21"/>
      <c r="L194" s="21"/>
    </row>
    <row r="195" spans="10:12" ht="16.5" customHeight="1" x14ac:dyDescent="0.45">
      <c r="J195" s="21"/>
      <c r="K195" s="21"/>
      <c r="L195" s="21"/>
    </row>
    <row r="196" spans="10:12" ht="16.5" customHeight="1" x14ac:dyDescent="0.45">
      <c r="J196" s="21"/>
      <c r="K196" s="21"/>
      <c r="L196" s="21"/>
    </row>
    <row r="197" spans="10:12" ht="16.5" customHeight="1" x14ac:dyDescent="0.45">
      <c r="J197" s="21"/>
      <c r="K197" s="21"/>
      <c r="L197" s="21"/>
    </row>
    <row r="198" spans="10:12" ht="16.5" customHeight="1" x14ac:dyDescent="0.45">
      <c r="J198" s="21"/>
      <c r="K198" s="21"/>
      <c r="L198" s="21"/>
    </row>
    <row r="199" spans="10:12" ht="16.5" customHeight="1" x14ac:dyDescent="0.45">
      <c r="J199" s="21"/>
      <c r="K199" s="21"/>
      <c r="L199" s="21"/>
    </row>
    <row r="200" spans="10:12" ht="16.5" customHeight="1" x14ac:dyDescent="0.45">
      <c r="J200" s="21"/>
      <c r="K200" s="21"/>
      <c r="L200" s="21"/>
    </row>
    <row r="201" spans="10:12" ht="16.5" customHeight="1" x14ac:dyDescent="0.45">
      <c r="J201" s="21"/>
      <c r="K201" s="21"/>
      <c r="L201" s="21"/>
    </row>
    <row r="202" spans="10:12" ht="16.5" customHeight="1" x14ac:dyDescent="0.45">
      <c r="J202" s="21"/>
      <c r="K202" s="21"/>
      <c r="L202" s="21"/>
    </row>
    <row r="203" spans="10:12" ht="16.5" customHeight="1" x14ac:dyDescent="0.45">
      <c r="J203" s="21"/>
      <c r="K203" s="21"/>
      <c r="L203" s="21"/>
    </row>
    <row r="204" spans="10:12" ht="16.5" customHeight="1" x14ac:dyDescent="0.45">
      <c r="J204" s="21"/>
      <c r="K204" s="21"/>
      <c r="L204" s="21"/>
    </row>
    <row r="205" spans="10:12" x14ac:dyDescent="0.45">
      <c r="J205" s="21"/>
      <c r="K205" s="21"/>
      <c r="L205" s="21"/>
    </row>
    <row r="206" spans="10:12" x14ac:dyDescent="0.45">
      <c r="J206" s="21"/>
      <c r="K206" s="21"/>
      <c r="L206" s="21"/>
    </row>
    <row r="207" spans="10:12" x14ac:dyDescent="0.45">
      <c r="J207" s="21"/>
      <c r="K207" s="21"/>
      <c r="L207" s="21"/>
    </row>
    <row r="208" spans="10:12" x14ac:dyDescent="0.45">
      <c r="J208" s="21"/>
      <c r="K208" s="21"/>
      <c r="L208" s="21"/>
    </row>
    <row r="209" spans="10:12" x14ac:dyDescent="0.45">
      <c r="J209" s="21"/>
      <c r="K209" s="21"/>
      <c r="L209" s="21"/>
    </row>
    <row r="210" spans="10:12" x14ac:dyDescent="0.45">
      <c r="J210" s="21"/>
      <c r="K210" s="21"/>
      <c r="L210" s="21"/>
    </row>
    <row r="211" spans="10:12" x14ac:dyDescent="0.45">
      <c r="J211" s="21"/>
      <c r="K211" s="21"/>
      <c r="L211" s="21"/>
    </row>
    <row r="212" spans="10:12" x14ac:dyDescent="0.45">
      <c r="J212" s="21"/>
      <c r="K212" s="21"/>
      <c r="L212" s="21"/>
    </row>
    <row r="213" spans="10:12" x14ac:dyDescent="0.45">
      <c r="J213" s="21"/>
      <c r="K213" s="21"/>
      <c r="L213" s="21"/>
    </row>
    <row r="214" spans="10:12" x14ac:dyDescent="0.45">
      <c r="J214" s="21"/>
      <c r="K214" s="21"/>
      <c r="L214" s="21"/>
    </row>
    <row r="215" spans="10:12" x14ac:dyDescent="0.45">
      <c r="J215" s="21"/>
      <c r="K215" s="21"/>
      <c r="L215" s="21"/>
    </row>
    <row r="216" spans="10:12" x14ac:dyDescent="0.45">
      <c r="J216" s="21"/>
      <c r="K216" s="21"/>
      <c r="L216" s="21"/>
    </row>
    <row r="217" spans="10:12" x14ac:dyDescent="0.45">
      <c r="J217" s="21"/>
      <c r="K217" s="21"/>
      <c r="L217" s="21"/>
    </row>
    <row r="218" spans="10:12" x14ac:dyDescent="0.45">
      <c r="J218" s="21"/>
      <c r="K218" s="21"/>
      <c r="L218" s="21"/>
    </row>
    <row r="219" spans="10:12" x14ac:dyDescent="0.45">
      <c r="J219" s="21"/>
      <c r="K219" s="21"/>
      <c r="L219" s="21"/>
    </row>
    <row r="220" spans="10:12" x14ac:dyDescent="0.45">
      <c r="J220" s="21"/>
      <c r="K220" s="21"/>
      <c r="L220" s="21"/>
    </row>
    <row r="221" spans="10:12" x14ac:dyDescent="0.45">
      <c r="J221" s="21"/>
      <c r="K221" s="21"/>
      <c r="L221" s="21"/>
    </row>
    <row r="222" spans="10:12" x14ac:dyDescent="0.45">
      <c r="J222" s="21"/>
      <c r="K222" s="21"/>
      <c r="L222" s="21"/>
    </row>
    <row r="223" spans="10:12" x14ac:dyDescent="0.45">
      <c r="J223" s="21"/>
      <c r="K223" s="21"/>
      <c r="L223" s="21"/>
    </row>
    <row r="224" spans="10:12" x14ac:dyDescent="0.45">
      <c r="J224" s="21"/>
      <c r="K224" s="21"/>
      <c r="L224" s="21"/>
    </row>
    <row r="225" spans="10:12" x14ac:dyDescent="0.45">
      <c r="J225" s="21"/>
      <c r="K225" s="21"/>
      <c r="L225" s="21"/>
    </row>
    <row r="226" spans="10:12" x14ac:dyDescent="0.45">
      <c r="J226" s="21"/>
      <c r="K226" s="21"/>
      <c r="L226" s="21"/>
    </row>
    <row r="227" spans="10:12" x14ac:dyDescent="0.45">
      <c r="J227" s="21"/>
      <c r="K227" s="21"/>
      <c r="L227" s="21"/>
    </row>
    <row r="228" spans="10:12" x14ac:dyDescent="0.45">
      <c r="J228" s="21"/>
      <c r="K228" s="21"/>
      <c r="L228" s="21"/>
    </row>
    <row r="229" spans="10:12" x14ac:dyDescent="0.45">
      <c r="J229" s="21"/>
      <c r="K229" s="21"/>
      <c r="L229" s="21"/>
    </row>
    <row r="230" spans="10:12" x14ac:dyDescent="0.45">
      <c r="J230" s="21"/>
      <c r="K230" s="21"/>
      <c r="L230" s="21"/>
    </row>
    <row r="231" spans="10:12" x14ac:dyDescent="0.45">
      <c r="J231" s="21"/>
      <c r="K231" s="21"/>
      <c r="L231" s="21"/>
    </row>
    <row r="232" spans="10:12" x14ac:dyDescent="0.45">
      <c r="J232" s="21"/>
      <c r="K232" s="21"/>
      <c r="L232" s="21"/>
    </row>
    <row r="233" spans="10:12" x14ac:dyDescent="0.45">
      <c r="J233" s="21"/>
      <c r="K233" s="21"/>
      <c r="L233" s="21"/>
    </row>
    <row r="234" spans="10:12" x14ac:dyDescent="0.45">
      <c r="J234" s="21"/>
      <c r="K234" s="21"/>
      <c r="L234" s="21"/>
    </row>
    <row r="235" spans="10:12" x14ac:dyDescent="0.45">
      <c r="J235" s="21"/>
      <c r="K235" s="21"/>
      <c r="L235" s="21"/>
    </row>
    <row r="236" spans="10:12" x14ac:dyDescent="0.45">
      <c r="J236" s="21"/>
      <c r="K236" s="21"/>
      <c r="L236" s="21"/>
    </row>
    <row r="237" spans="10:12" x14ac:dyDescent="0.45">
      <c r="J237" s="21"/>
      <c r="K237" s="21"/>
      <c r="L237" s="21"/>
    </row>
    <row r="238" spans="10:12" x14ac:dyDescent="0.45">
      <c r="J238" s="21"/>
      <c r="K238" s="21"/>
      <c r="L238" s="21"/>
    </row>
    <row r="239" spans="10:12" x14ac:dyDescent="0.45">
      <c r="J239" s="21"/>
      <c r="K239" s="21"/>
      <c r="L239" s="21"/>
    </row>
    <row r="240" spans="10:12" x14ac:dyDescent="0.45">
      <c r="J240" s="21"/>
      <c r="K240" s="21"/>
      <c r="L240" s="21"/>
    </row>
    <row r="241" spans="10:12" x14ac:dyDescent="0.45">
      <c r="J241" s="21"/>
      <c r="K241" s="21"/>
      <c r="L241" s="21"/>
    </row>
    <row r="242" spans="10:12" x14ac:dyDescent="0.45">
      <c r="J242" s="21"/>
      <c r="K242" s="21"/>
      <c r="L242" s="21"/>
    </row>
    <row r="243" spans="10:12" x14ac:dyDescent="0.45">
      <c r="J243" s="21"/>
      <c r="K243" s="21"/>
      <c r="L243" s="21"/>
    </row>
    <row r="244" spans="10:12" x14ac:dyDescent="0.45">
      <c r="J244" s="21"/>
      <c r="K244" s="21"/>
      <c r="L244" s="21"/>
    </row>
    <row r="245" spans="10:12" x14ac:dyDescent="0.45">
      <c r="J245" s="21"/>
      <c r="K245" s="21"/>
      <c r="L245" s="21"/>
    </row>
    <row r="246" spans="10:12" x14ac:dyDescent="0.45">
      <c r="J246" s="21"/>
      <c r="K246" s="21"/>
      <c r="L246" s="21"/>
    </row>
    <row r="247" spans="10:12" x14ac:dyDescent="0.45">
      <c r="J247" s="21"/>
      <c r="K247" s="21"/>
      <c r="L247" s="21"/>
    </row>
    <row r="248" spans="10:12" x14ac:dyDescent="0.45">
      <c r="J248" s="21"/>
      <c r="K248" s="21"/>
      <c r="L248" s="21"/>
    </row>
    <row r="249" spans="10:12" x14ac:dyDescent="0.45">
      <c r="J249" s="21"/>
      <c r="K249" s="21"/>
      <c r="L249" s="21"/>
    </row>
    <row r="250" spans="10:12" x14ac:dyDescent="0.45">
      <c r="J250" s="21"/>
      <c r="K250" s="21"/>
      <c r="L250" s="21"/>
    </row>
    <row r="251" spans="10:12" x14ac:dyDescent="0.45">
      <c r="J251" s="21"/>
      <c r="K251" s="21"/>
      <c r="L251" s="21"/>
    </row>
    <row r="252" spans="10:12" x14ac:dyDescent="0.45">
      <c r="J252" s="21"/>
      <c r="K252" s="21"/>
      <c r="L252" s="21"/>
    </row>
    <row r="253" spans="10:12" x14ac:dyDescent="0.45">
      <c r="J253" s="21"/>
      <c r="K253" s="21"/>
      <c r="L253" s="21"/>
    </row>
    <row r="254" spans="10:12" x14ac:dyDescent="0.45">
      <c r="J254" s="21"/>
      <c r="K254" s="21"/>
      <c r="L254" s="21"/>
    </row>
    <row r="255" spans="10:12" x14ac:dyDescent="0.45">
      <c r="J255" s="21"/>
      <c r="K255" s="21"/>
      <c r="L255" s="21"/>
    </row>
    <row r="256" spans="10:12" x14ac:dyDescent="0.45">
      <c r="J256" s="21"/>
      <c r="K256" s="21"/>
      <c r="L256" s="21"/>
    </row>
    <row r="257" spans="10:12" x14ac:dyDescent="0.45">
      <c r="J257" s="21"/>
      <c r="K257" s="21"/>
      <c r="L257" s="21"/>
    </row>
    <row r="258" spans="10:12" x14ac:dyDescent="0.45">
      <c r="J258" s="21"/>
      <c r="K258" s="21"/>
      <c r="L258" s="21"/>
    </row>
    <row r="259" spans="10:12" x14ac:dyDescent="0.45">
      <c r="J259" s="21"/>
      <c r="K259" s="21"/>
      <c r="L259" s="21"/>
    </row>
    <row r="260" spans="10:12" x14ac:dyDescent="0.45">
      <c r="J260" s="21"/>
      <c r="K260" s="21"/>
      <c r="L260" s="21"/>
    </row>
    <row r="261" spans="10:12" x14ac:dyDescent="0.45">
      <c r="J261" s="21"/>
      <c r="K261" s="21"/>
      <c r="L261" s="21"/>
    </row>
    <row r="262" spans="10:12" x14ac:dyDescent="0.45">
      <c r="J262" s="21"/>
      <c r="K262" s="21"/>
      <c r="L262" s="21"/>
    </row>
    <row r="263" spans="10:12" x14ac:dyDescent="0.45">
      <c r="J263" s="21"/>
      <c r="K263" s="21"/>
      <c r="L263" s="21"/>
    </row>
    <row r="264" spans="10:12" x14ac:dyDescent="0.45">
      <c r="J264" s="21"/>
      <c r="K264" s="21"/>
      <c r="L264" s="21"/>
    </row>
    <row r="265" spans="10:12" x14ac:dyDescent="0.45">
      <c r="J265" s="21"/>
      <c r="K265" s="21"/>
      <c r="L265" s="21"/>
    </row>
    <row r="266" spans="10:12" x14ac:dyDescent="0.45">
      <c r="J266" s="21"/>
      <c r="K266" s="21"/>
      <c r="L266" s="21"/>
    </row>
    <row r="267" spans="10:12" x14ac:dyDescent="0.45">
      <c r="J267" s="21"/>
      <c r="K267" s="21"/>
      <c r="L267" s="21"/>
    </row>
    <row r="268" spans="10:12" x14ac:dyDescent="0.45">
      <c r="J268" s="21"/>
      <c r="K268" s="21"/>
      <c r="L268" s="21"/>
    </row>
    <row r="269" spans="10:12" x14ac:dyDescent="0.45">
      <c r="J269" s="21"/>
      <c r="K269" s="21"/>
      <c r="L269" s="21"/>
    </row>
    <row r="270" spans="10:12" x14ac:dyDescent="0.45">
      <c r="J270" s="21"/>
      <c r="K270" s="21"/>
      <c r="L270" s="21"/>
    </row>
    <row r="271" spans="10:12" x14ac:dyDescent="0.45">
      <c r="J271" s="21"/>
      <c r="K271" s="21"/>
      <c r="L271" s="21"/>
    </row>
    <row r="272" spans="10:12" x14ac:dyDescent="0.45">
      <c r="J272" s="21"/>
      <c r="K272" s="21"/>
      <c r="L272" s="21"/>
    </row>
    <row r="273" spans="10:12" x14ac:dyDescent="0.45">
      <c r="J273" s="21"/>
      <c r="K273" s="21"/>
      <c r="L273" s="21"/>
    </row>
    <row r="274" spans="10:12" x14ac:dyDescent="0.45">
      <c r="J274" s="21"/>
      <c r="K274" s="21"/>
      <c r="L274" s="21"/>
    </row>
    <row r="275" spans="10:12" x14ac:dyDescent="0.45">
      <c r="J275" s="21"/>
      <c r="K275" s="21"/>
      <c r="L275" s="21"/>
    </row>
    <row r="276" spans="10:12" x14ac:dyDescent="0.45">
      <c r="J276" s="21"/>
      <c r="K276" s="21"/>
      <c r="L276" s="21"/>
    </row>
    <row r="277" spans="10:12" x14ac:dyDescent="0.45">
      <c r="J277" s="21"/>
      <c r="K277" s="21"/>
      <c r="L277" s="21"/>
    </row>
    <row r="278" spans="10:12" x14ac:dyDescent="0.45">
      <c r="J278" s="21"/>
      <c r="K278" s="21"/>
      <c r="L278" s="21"/>
    </row>
    <row r="279" spans="10:12" x14ac:dyDescent="0.45">
      <c r="J279" s="21"/>
      <c r="K279" s="21"/>
      <c r="L279" s="21"/>
    </row>
    <row r="280" spans="10:12" x14ac:dyDescent="0.45">
      <c r="J280" s="21"/>
      <c r="K280" s="21"/>
      <c r="L280" s="21"/>
    </row>
    <row r="281" spans="10:12" x14ac:dyDescent="0.45">
      <c r="J281" s="21"/>
      <c r="K281" s="21"/>
      <c r="L281" s="21"/>
    </row>
    <row r="282" spans="10:12" x14ac:dyDescent="0.45">
      <c r="J282" s="21"/>
      <c r="K282" s="21"/>
    </row>
    <row r="283" spans="10:12" x14ac:dyDescent="0.45">
      <c r="J283" s="21"/>
      <c r="K283" s="21"/>
    </row>
    <row r="284" spans="10:12" x14ac:dyDescent="0.45">
      <c r="J284" s="21"/>
      <c r="K284" s="21"/>
    </row>
    <row r="285" spans="10:12" x14ac:dyDescent="0.45">
      <c r="J285" s="21"/>
      <c r="K285" s="21"/>
    </row>
    <row r="286" spans="10:12" x14ac:dyDescent="0.45">
      <c r="J286" s="21"/>
      <c r="K286" s="21"/>
    </row>
  </sheetData>
  <autoFilter ref="A4:I149" xr:uid="{40A4B7A3-F207-4AF4-8579-95FFC9A7072F}"/>
  <dataConsolidate/>
  <mergeCells count="2">
    <mergeCell ref="A1:B1"/>
    <mergeCell ref="C2:D2"/>
  </mergeCells>
  <conditionalFormatting sqref="D5">
    <cfRule type="cellIs" dxfId="19" priority="181" operator="equal">
      <formula>"Fulfilled"</formula>
    </cfRule>
    <cfRule type="cellIs" dxfId="18" priority="182" operator="equal">
      <formula>"Not verified"</formula>
    </cfRule>
    <cfRule type="cellIs" dxfId="17" priority="183" operator="equal">
      <formula>"Fullfilled"</formula>
    </cfRule>
    <cfRule type="cellIs" dxfId="16" priority="184" operator="equal">
      <formula>"N/A"</formula>
    </cfRule>
    <cfRule type="cellIs" dxfId="15" priority="185" operator="equal">
      <formula>"Open"</formula>
    </cfRule>
  </conditionalFormatting>
  <conditionalFormatting sqref="J5:L281">
    <cfRule type="expression" dxfId="14" priority="11">
      <formula>($C5&lt;&gt;"")</formula>
    </cfRule>
  </conditionalFormatting>
  <conditionalFormatting sqref="D20:D21">
    <cfRule type="cellIs" dxfId="13" priority="6" operator="equal">
      <formula>"Fulfilled"</formula>
    </cfRule>
    <cfRule type="cellIs" dxfId="12" priority="7" operator="equal">
      <formula>"Not verified"</formula>
    </cfRule>
    <cfRule type="cellIs" dxfId="11" priority="8" operator="equal">
      <formula>"Fullfilled"</formula>
    </cfRule>
    <cfRule type="cellIs" dxfId="10" priority="9" operator="equal">
      <formula>"N/A"</formula>
    </cfRule>
    <cfRule type="cellIs" dxfId="9" priority="10" operator="equal">
      <formula>"Open"</formula>
    </cfRule>
  </conditionalFormatting>
  <conditionalFormatting sqref="D19">
    <cfRule type="cellIs" dxfId="8" priority="1" operator="equal">
      <formula>"Fulfilled"</formula>
    </cfRule>
    <cfRule type="cellIs" dxfId="7" priority="2" operator="equal">
      <formula>"Not verified"</formula>
    </cfRule>
    <cfRule type="cellIs" dxfId="6" priority="3" operator="equal">
      <formula>"Fullfilled"</formula>
    </cfRule>
    <cfRule type="cellIs" dxfId="5" priority="4" operator="equal">
      <formula>"N/A"</formula>
    </cfRule>
    <cfRule type="cellIs" dxfId="4" priority="5" operator="equal">
      <formula>"Open"</formula>
    </cfRule>
  </conditionalFormatting>
  <hyperlinks>
    <hyperlink ref="H5" r:id="rId1" tooltip="https://docs.microsoft.com/azure/cloud-adoption-framework/ready/enterprise-scale/business-continuity-and-disaster-recovery" xr:uid="{8C8737C7-EC1A-4D74-A77B-9FAF3D8EA2F0}"/>
    <hyperlink ref="H6" r:id="rId2" tooltip="https://docs.microsoft.com/azure/cloud-adoption-framework/ready/enterprise-scale/business-continuity-and-disaster-recovery" xr:uid="{8C9CC91B-2020-4D3D-BEA2-CD0E8841FC3B}"/>
    <hyperlink ref="H7" r:id="rId3" tooltip="https://docs.microsoft.com/azure/aks/operator-best-practices-multi-region" xr:uid="{65AEE22F-919B-49BF-9CF3-63561EB0530C}"/>
    <hyperlink ref="H8" r:id="rId4" tooltip="https://docs.microsoft.com/azure/aks/availability-zones" xr:uid="{26C01F50-B6F9-451B-A408-99BB765F165A}"/>
    <hyperlink ref="H9" r:id="rId5" tooltip="https://docs.microsoft.com/azure/aks/uptime-sla" xr:uid="{5EB955F3-6FBF-4644-9FD1-FA2848D90639}"/>
    <hyperlink ref="H10" r:id="rId6" tooltip="https://docs.microsoft.com/azure/aks/operator-best-practices-scheduler" xr:uid="{29566EBF-7CD3-4F3E-A6D5-D49309CB48A7}"/>
    <hyperlink ref="H11" r:id="rId7" tooltip="https://docs.microsoft.com/azure/container-registry/container-registry-geo-replication" xr:uid="{9ED1DBC9-FA2B-4110-AAE9-E345C873CDFE}"/>
    <hyperlink ref="H12" r:id="rId8" tooltip="https://docs.microsoft.com/azure/aks/use-managed-identity" xr:uid="{DED83171-8328-42F6-9CC8-398813B5486C}"/>
    <hyperlink ref="H13" r:id="rId9" tooltip="https://docs.microsoft.com/azure/aks/managed-aad" xr:uid="{B449BDEE-47D0-4D8D-AB66-3EA699DD6CAB}"/>
    <hyperlink ref="H14" r:id="rId10" tooltip="https://docs.microsoft.com/azure/aks/control-kubeconfig-access" xr:uid="{CCA333CD-51D3-4497-B5FA-82782AC611CA}"/>
    <hyperlink ref="H15" r:id="rId11" tooltip="https://docs.microsoft.com/azure/aks/manage-azure-rbac" xr:uid="{0C30A947-6D52-448F-9908-658FC476AFE0}"/>
    <hyperlink ref="H16" r:id="rId12" tooltip="https://docs.microsoft.com/azure/aks/operator-best-practices-identity" xr:uid="{B458CAAC-4B80-4B82-9398-40E9ECA32A50}"/>
    <hyperlink ref="H17" r:id="rId13" tooltip="https://docs.microsoft.com/azure/aks/operator-best-practices-identity" xr:uid="{F54F3A69-0740-4553-826A-3F30CB2D7FD1}"/>
    <hyperlink ref="H18" r:id="rId14" tooltip="https://docs.microsoft.com/azure/aks/operator-best-practices-network" xr:uid="{8DEC5E34-F63C-4216-8722-2A54F59AD570}"/>
    <hyperlink ref="H19" r:id="rId15" tooltip="https://docs.microsoft.com/azure/aks/configure-azure-cni" xr:uid="{8F641AE2-A22D-491C-90FB-214156CDF89D}"/>
    <hyperlink ref="H20" r:id="rId16" tooltip="https://docs.microsoft.com/azure/aks/configure-azure-cni" xr:uid="{E60C699D-8502-4BCB-B5E7-60EF6A13F7CF}"/>
    <hyperlink ref="H21" r:id="rId17" tooltip="https://docs.microsoft.com/azure/aks/internal-lb" xr:uid="{BF914970-C334-4092-8D50-7685C5B0040F}"/>
    <hyperlink ref="H22" r:id="rId18" tooltip="https://docs.microsoft.com/azure/aks/configure-azure-cni" xr:uid="{828D0DA5-4E8F-4FB1-B2B5-2DA44AADF2AA}"/>
    <hyperlink ref="H23" r:id="rId19" tooltip="https://docs.microsoft.com/azure/aks/limit-egress-traffic" xr:uid="{5B6214FF-EF59-4A34-8A11-1D336513F83D}"/>
    <hyperlink ref="H24" r:id="rId20" tooltip="https://docs.microsoft.com/azure/aks/api-server-authorized-ip-ranges" xr:uid="{EA8BA2EC-0868-4714-B15E-8983C8B76DF8}"/>
    <hyperlink ref="H25" r:id="rId21" tooltip="https://docs.microsoft.com/azure/aks/concepts-network" xr:uid="{D224AE60-32E4-4E5C-AC55-7A8C3365C1F8}"/>
    <hyperlink ref="H26" r:id="rId22" tooltip="https://azure.github.io/application-gateway-kubernetes-ingress/setup/install-existing/" xr:uid="{B4AEB9DF-1A20-4D12-8F4E-7739F2AE0FE0}"/>
    <hyperlink ref="H27" r:id="rId23" tooltip="https://docs.microsoft.com/azure/private-link/private-link-overview" xr:uid="{7F7D600D-286E-49F7-B8A1-CFEF3F3FFBB9}"/>
    <hyperlink ref="H28" r:id="rId24" tooltip="https://docs.microsoft.com/azure/aks/private-clusters" xr:uid="{93C84319-8637-4939-98E2-79E962C1FD73}"/>
    <hyperlink ref="H29" r:id="rId25" tooltip="https://docs.microsoft.com/azure/aks/use-network-policies" xr:uid="{758CC9C0-908F-4F46-9BAC-C8603FA08246}"/>
    <hyperlink ref="H30" r:id="rId26" tooltip="https://docs.microsoft.com/azure/aks/operator-best-practices-network" xr:uid="{50EE1E70-5973-45D9-8450-DB19A838388F}"/>
    <hyperlink ref="H31" r:id="rId27" tooltip="https://docs.microsoft.com/azure/aks/operator-best-practices-network" xr:uid="{F347D46B-063D-4ACE-8C39-75D7DCAB0276}"/>
    <hyperlink ref="H32" r:id="rId28" tooltip="https://docs.microsoft.com/azure/virtual-network/ddos-protection-overview" xr:uid="{9BE37DFF-4AB6-4463-B61D-BF6327230A0D}"/>
    <hyperlink ref="H33" r:id="rId29" tooltip="https://docs.microsoft.com/azure/aks/http-application-routing" xr:uid="{E0038B4A-4CAD-4DC0-829D-52A34492B5BA}"/>
    <hyperlink ref="H34" r:id="rId30" tooltip="https://docs.microsoft.com/azure/aks/load-balancer-standard" xr:uid="{C41B1DAF-9640-4B8E-8B63-C64456078913}"/>
    <hyperlink ref="H35" r:id="rId31" tooltip="https://docs.microsoft.com/azure/expressroute/designing-for-disaster-recovery-with-expressroute-privatepeering" xr:uid="{973D8B45-F2B4-47F8-91A1-BFEBAE0868A6}"/>
    <hyperlink ref="H36" r:id="rId32" tooltip="https://docs.microsoft.com/azure/aks/servicemesh-about" xr:uid="{C8ACD637-06DA-47A2-9B8D-855EDB127CDC}"/>
    <hyperlink ref="H37" r:id="rId33" tooltip="https://github.com/Azure/secrets-store-csi-driver-provider-azure" xr:uid="{F743C0E5-F79A-46D7-A1D9-49162A6C094A}"/>
    <hyperlink ref="H38" r:id="rId34" tooltip="https://docs.microsoft.com/azure/aks/update-credentials" xr:uid="{4C98B8A4-7A39-4912-B696-ACC04960D165}"/>
    <hyperlink ref="H39" r:id="rId35" tooltip="https://docs.microsoft.com/azure/governance/policy/concepts/policy-for-kubernetes" xr:uid="{5463CA16-3AB3-4BC4-A40A-1E01531B88E5}"/>
    <hyperlink ref="H40" r:id="rId36" tooltip="https://docs.microsoft.com/azure/aks/use-system-pools" xr:uid="{D30684C9-7C3F-4423-9246-B6E0F5A69502}"/>
    <hyperlink ref="H41" r:id="rId37" tooltip="https://docs.microsoft.com/azure/aks/use-system-pools" xr:uid="{3AD6C5E9-0310-4AD4-B8BD-FABB844F9F70}"/>
    <hyperlink ref="H42" r:id="rId38" tooltip="https://docs.microsoft.com/azure/container-registry/" xr:uid="{E243EE8D-CCFD-487C-9579-7DA37E3C80F7}"/>
    <hyperlink ref="H43" r:id="rId39" tooltip="https://docs.microsoft.com/azure/security-center/container-security" xr:uid="{5CB11257-2212-4D32-B964-9B0832606835}"/>
    <hyperlink ref="H44" r:id="rId40" tooltip="https://docs.microsoft.com/azure/security-center/container-security" xr:uid="{060836B2-8AF5-485F-A262-ECC40271EDFA}"/>
    <hyperlink ref="H45" r:id="rId41" tooltip="https://docs.microsoft.com/azure/aks/operator-best-practices-cluster-isolation" xr:uid="{B5C2D2B0-604A-4DE5-A6ED-366C4A5FF7C3}"/>
    <hyperlink ref="H46" r:id="rId42" tooltip="https://docs.microsoft.com/azure/cloud-adoption-framework/scenarios/aks/eslz-cost-governance-with-kubecost" xr:uid="{2F51BBE0-FB3F-4D06-A385-4D77C66913CC}"/>
    <hyperlink ref="H47" r:id="rId43" tooltip="https://docs.microsoft.com/azure/aks/cluster-configuration" xr:uid="{534C301E-1548-4799-9048-615F9302D53C}"/>
    <hyperlink ref="H48" r:id="rId44" tooltip="https://docs.microsoft.com/azure/virtual-machines/disks-types" xr:uid="{5BC68C37-3715-4377-A503-AB69044A12F9}"/>
    <hyperlink ref="H49" r:id="rId45" tooltip="https://docs.microsoft.com/azure/aks/operator-best-practices-multi-region" xr:uid="{D26828FC-259D-4FD6-9F14-12995D8DF605}"/>
    <hyperlink ref="H50" r:id="rId46" tooltip="https://docs.microsoft.com/azure/aks/operator-best-practices-storage" xr:uid="{0ED5C2FD-BFEF-481C-90B2-1144271627A0}"/>
    <hyperlink ref="H51" r:id="rId47" location="azure-disk-availability-zone-support" tooltip="https://docs.microsoft.com/azure/aks/availability-zones#azure-disk-availability-zone-support" xr:uid="{F5C88B80-59AC-45FF-B6C1-434743187927}"/>
    <hyperlink ref="H52" r:id="rId48" tooltip="https://docs.microsoft.com/azure/advisor/advisor-get-started" xr:uid="{C3F040B4-E9B0-4C2E-846C-526729290A10}"/>
    <hyperlink ref="H53" r:id="rId49" tooltip="https://docs.microsoft.com/azure/aks/operator-best-practices-scheduler" xr:uid="{3DC00460-4334-412A-B91F-4A15875B89A8}"/>
    <hyperlink ref="H54" r:id="rId50" tooltip="https://docs.microsoft.com/azure/azure-monitor/insights/container-insights-overview" xr:uid="{1FED17EC-0508-4E71-8973-D297BD982C84}"/>
    <hyperlink ref="H55" r:id="rId51" tooltip="https://docs.microsoft.com/azure/azure-monitor/insights/container-insights-overview" xr:uid="{0858E8F7-53AF-427A-9676-8D68F2243871}"/>
    <hyperlink ref="H56" r:id="rId52" tooltip="https://docs.microsoft.com/azure/azure-monitor/insights/container-insights-metric-alerts" xr:uid="{6EA0606E-AC1F-49A1-8071-109806DD6216}"/>
    <hyperlink ref="H57" r:id="rId53" tooltip="https://docs.microsoft.com/azure/aks/supported-kubernetes-versions" xr:uid="{E5876381-E36C-489C-AAF4-339FE4FFF192}"/>
    <hyperlink ref="H58" r:id="rId54" tooltip="https://docs.microsoft.com/azure/aks/node-updates-kured" xr:uid="{99EEF561-495C-4C8A-8978-E35C5806712B}"/>
    <hyperlink ref="H59" r:id="rId55" tooltip="https://docs.microsoft.com/azure/aks/node-image-upgrade" xr:uid="{9FDD5E4E-8337-4368-8DB9-6CBEDF26B4EF}"/>
    <hyperlink ref="H60" r:id="rId56" tooltip="https://docs.microsoft.com/azure/architecture/example-scenario/bedrock/bedrock-automated-deployments" xr:uid="{344F1268-09BA-43BA-ADB9-F1FFB2599C36}"/>
    <hyperlink ref="H61" r:id="rId57" tooltip="https://docs.microsoft.com/azure/aks/spot-node-pool" xr:uid="{C837D077-B40A-41D1-BCF8-961DE348C3C9}"/>
    <hyperlink ref="H62" r:id="rId58" tooltip="https://docs.microsoft.com/azure/aks/concepts-scale" xr:uid="{69F0D0A4-140E-4152-9E21-2A2A0445E6C5}"/>
    <hyperlink ref="H63" r:id="rId59" tooltip="https://docs.microsoft.com/azure/aks/faq" xr:uid="{E393DD20-8392-4C63-8501-C055A6FE4FAA}"/>
    <hyperlink ref="H64" r:id="rId60" tooltip="https://docs.microsoft.com/azure/aks/cluster-configuration" xr:uid="{6CE53F30-A877-47D7-8101-DB54D305B27C}"/>
    <hyperlink ref="H65" r:id="rId61" tooltip="https://kubernetes.io/docs/setup/release/notes/" xr:uid="{FD705D6F-8B1B-4D9B-AE44-9DFC9445F726}"/>
    <hyperlink ref="H66" r:id="rId62" tooltip="https://docs.microsoft.com/azure-stack/aks-hci/adapt-apps-mixed-os-clusters" xr:uid="{11C50EAE-3A76-44F2-B33E-23BD519EA024}"/>
    <hyperlink ref="H67" r:id="rId63" tooltip="https://docs.microsoft.com/virtualization/windowscontainers/deploy-containers/version-compatibility?tabs=windows-server-20H2%2Cwindows-10-20H2" xr:uid="{B1D3A328-240B-4BF7-BCEA-571BC2C614F5}"/>
    <hyperlink ref="H68" r:id="rId64" tooltip="https://docs.microsoft.com/azure/azure-monitor/containers/container-insights-analyze" xr:uid="{1F8CF01C-378B-44D5-8CCE-F1670D64B3CF}"/>
    <hyperlink ref="H69" r:id="rId65" tooltip="https://docs.microsoft.com/azure/aks/configure-azure-cni" xr:uid="{92986E18-1231-421E-B7BD-7E3E425FEA3A}"/>
    <hyperlink ref="H70" r:id="rId66" tooltip="https://docs.microsoft.com/azure/virtual-machines/premium-storage-performance" xr:uid="{9A482F19-61C0-4F02-BB9D-4105DAE6DDE5}"/>
    <hyperlink ref="H71" r:id="rId67" tooltip="https://docs.microsoft.com/azure/aks/load-balancer-standard" xr:uid="{82EF90FB-A63B-49F5-B16B-0F3FC55E0297}"/>
    <hyperlink ref="H72" r:id="rId68" tooltip="https://docs.microsoft.com/azure/aks/aks-resource-health" xr:uid="{4E4F9E09-EDAF-4621-A781-02600EDD2523}"/>
    <hyperlink ref="H73" r:id="rId69" tooltip="https://docs.microsoft.com/azure/aks/monitor-aks" xr:uid="{A6B19756-4365-44D6-A876-46A2A5E31ABE}"/>
    <hyperlink ref="H74" r:id="rId70" tooltip="https://docs.microsoft.com/azure/aks/concepts-scale" xr:uid="{BB93B6F2-09F8-401F-9517-2C2B9A912C94}"/>
    <hyperlink ref="H75" r:id="rId71" tooltip="https://docs.microsoft.com/azure/aks/concepts-scale" xr:uid="{AB9BA764-0879-46C9-A84C-7E88BC5B11BF}"/>
    <hyperlink ref="H76" r:id="rId72" tooltip="https://blog.cloudtrooper.net/2020/10/23/which-vm-size-should-i-choose-as-aks-node/" xr:uid="{41346CD1-FB6B-4C3F-B4E2-FD979DCC6A0B}"/>
    <hyperlink ref="H77" r:id="rId73" tooltip="https://docs.microsoft.com/azure/aks/operator-best-practices-scheduler" xr:uid="{EB5E4D5A-CC16-4306-9114-138EED2E0751}"/>
    <hyperlink ref="H78" r:id="rId74" tooltip="https://docs.microsoft.com/azure/aks/operator-best-practices-scheduler" xr:uid="{E90807AC-2F4F-42B4-89DF-CC0820103145}"/>
    <hyperlink ref="H79" r:id="rId75" tooltip="https://docs.microsoft.com/azure/azure-resource-manager/management/azure-subscription-service-limits" xr:uid="{5C176034-1536-41F1-9158-95380926476B}"/>
    <hyperlink ref="H80" r:id="rId76" tooltip="https://docs.microsoft.com/azure/developer/terraform/create-k8s-cluster-with-tf-and-aks" xr:uid="{793D6CFF-A397-4AA1-A39F-8E9267DC636A}"/>
    <hyperlink ref="H81" r:id="rId77" tooltip="https://docs.microsoft.com/azure/architecture/reference-architectures/containers/aks/secure-baseline-aks" xr:uid="{12E92F4D-6E60-43B7-9F45-F315602DD6F7}"/>
    <hyperlink ref="H82" r:id="rId78" tooltip="https://docs.microsoft.com/azure/azure-functions/functions-kubernetes-keda" xr:uid="{74022FC5-39D7-41D9-B790-97E5720EBD38}"/>
    <hyperlink ref="H83" r:id="rId79" tooltip="https://dapr.io/" xr:uid="{43FC74E5-7E5F-4BE4-8F00-C28E272820A2}"/>
  </hyperlinks>
  <pageMargins left="0.7" right="0.7" top="0.75" bottom="0.75" header="0.3" footer="0.3"/>
  <pageSetup paperSize="9" orientation="portrait" horizontalDpi="4294967293" r:id="rId80"/>
  <drawing r:id="rId81"/>
  <legacyDrawing r:id="rId8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3" name="Button 1">
              <controlPr defaultSize="0" print="0" autoFill="0" autoPict="0" macro="[0]!Sheet1.export_json">
                <anchor moveWithCells="1" sizeWithCells="1">
                  <from>
                    <xdr:col>3</xdr:col>
                    <xdr:colOff>2276475</xdr:colOff>
                    <xdr:row>0</xdr:row>
                    <xdr:rowOff>619125</xdr:rowOff>
                  </from>
                  <to>
                    <xdr:col>6</xdr:col>
                    <xdr:colOff>209550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4" name="Button 3">
              <controlPr defaultSize="0" print="0" autoFill="0" autoPict="0" macro="[0]!Sheet1.import_checklist">
                <anchor moveWithCells="1">
                  <from>
                    <xdr:col>3</xdr:col>
                    <xdr:colOff>2257425</xdr:colOff>
                    <xdr:row>0</xdr:row>
                    <xdr:rowOff>295275</xdr:rowOff>
                  </from>
                  <to>
                    <xdr:col>6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5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5781675</xdr:colOff>
                    <xdr:row>0</xdr:row>
                    <xdr:rowOff>266700</xdr:rowOff>
                  </from>
                  <to>
                    <xdr:col>2</xdr:col>
                    <xdr:colOff>6686550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6" name="Group Box 5">
              <controlPr defaultSize="0" autoFill="0" autoPict="0">
                <anchor moveWithCells="1">
                  <from>
                    <xdr:col>3</xdr:col>
                    <xdr:colOff>2019300</xdr:colOff>
                    <xdr:row>0</xdr:row>
                    <xdr:rowOff>180975</xdr:rowOff>
                  </from>
                  <to>
                    <xdr:col>6</xdr:col>
                    <xdr:colOff>676275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7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3</xdr:col>
                    <xdr:colOff>1657350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8" name="Group Box 7">
              <controlPr defaultSize="0" autoFill="0" autoPict="0">
                <anchor moveWithCells="1">
                  <from>
                    <xdr:col>3</xdr:col>
                    <xdr:colOff>581025</xdr:colOff>
                    <xdr:row>0</xdr:row>
                    <xdr:rowOff>247650</xdr:rowOff>
                  </from>
                  <to>
                    <xdr:col>3</xdr:col>
                    <xdr:colOff>1485900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9" name="Option Button 8">
              <controlPr defaultSize="0" autoFill="0" autoLine="0" autoPict="0" macro="[0]!Sheet1.set_english">
                <anchor moveWithCells="1">
                  <from>
                    <xdr:col>3</xdr:col>
                    <xdr:colOff>581025</xdr:colOff>
                    <xdr:row>0</xdr:row>
                    <xdr:rowOff>323850</xdr:rowOff>
                  </from>
                  <to>
                    <xdr:col>3</xdr:col>
                    <xdr:colOff>971550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0" name="Option Button 9">
              <controlPr defaultSize="0" autoFill="0" autoLine="0" autoPict="0" macro="[0]!Sheet1.set_japanese">
                <anchor moveWithCells="1">
                  <from>
                    <xdr:col>3</xdr:col>
                    <xdr:colOff>581025</xdr:colOff>
                    <xdr:row>0</xdr:row>
                    <xdr:rowOff>514350</xdr:rowOff>
                  </from>
                  <to>
                    <xdr:col>3</xdr:col>
                    <xdr:colOff>1304925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1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547688</xdr:rowOff>
                  </from>
                  <to>
                    <xdr:col>3</xdr:col>
                    <xdr:colOff>371475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2" name="Option Button 13">
              <controlPr defaultSize="0" autoFill="0" autoLine="0" autoPict="0" macro="[0]!Sheet1.set_lz">
                <anchor moveWithCells="1">
                  <from>
                    <xdr:col>2</xdr:col>
                    <xdr:colOff>5819775</xdr:colOff>
                    <xdr:row>0</xdr:row>
                    <xdr:rowOff>619125</xdr:rowOff>
                  </from>
                  <to>
                    <xdr:col>3</xdr:col>
                    <xdr:colOff>476250</xdr:colOff>
                    <xdr:row>0</xdr:row>
                    <xdr:rowOff>833438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3" name="Option Button 14">
              <controlPr defaultSize="0" autoFill="0" autoLine="0" autoPict="0" macro="[0]!Sheet1.set_aks">
                <anchor moveWithCells="1">
                  <from>
                    <xdr:col>2</xdr:col>
                    <xdr:colOff>5819775</xdr:colOff>
                    <xdr:row>0</xdr:row>
                    <xdr:rowOff>752475</xdr:rowOff>
                  </from>
                  <to>
                    <xdr:col>3</xdr:col>
                    <xdr:colOff>485775</xdr:colOff>
                    <xdr:row>0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4" name="Option Button 15">
              <controlPr defaultSize="0" autoFill="0" autoLine="0" autoPict="0" macro="[0]!Sheet1.set_korean">
                <anchor moveWithCells="1">
                  <from>
                    <xdr:col>3</xdr:col>
                    <xdr:colOff>581025</xdr:colOff>
                    <xdr:row>0</xdr:row>
                    <xdr:rowOff>647700</xdr:rowOff>
                  </from>
                  <to>
                    <xdr:col>3</xdr:col>
                    <xdr:colOff>981075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5" name="Option Button 18">
              <controlPr defaultSize="0" autoFill="0" autoLine="0" autoPict="0" macro="[0]!Sheet1.set_avd">
                <anchor moveWithCells="1">
                  <from>
                    <xdr:col>2</xdr:col>
                    <xdr:colOff>5819775</xdr:colOff>
                    <xdr:row>0</xdr:row>
                    <xdr:rowOff>890588</xdr:rowOff>
                  </from>
                  <to>
                    <xdr:col>3</xdr:col>
                    <xdr:colOff>561975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6" name="Button 19">
              <controlPr defaultSize="0" print="0" autoFill="0" autoPict="0" macro="[0]!Sheet1.import_graph_results">
                <anchor moveWithCells="1" sizeWithCells="1">
                  <from>
                    <xdr:col>3</xdr:col>
                    <xdr:colOff>2266950</xdr:colOff>
                    <xdr:row>0</xdr:row>
                    <xdr:rowOff>952500</xdr:rowOff>
                  </from>
                  <to>
                    <xdr:col>6</xdr:col>
                    <xdr:colOff>209550</xdr:colOff>
                    <xdr:row>0</xdr:row>
                    <xdr:rowOff>1190625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7" name="Option Button 34">
              <controlPr defaultSize="0" autoFill="0" autoLine="0" autoPict="0" macro="[0]!Sheet1.set_portuguese">
                <anchor moveWithCells="1">
                  <from>
                    <xdr:col>3</xdr:col>
                    <xdr:colOff>581025</xdr:colOff>
                    <xdr:row>0</xdr:row>
                    <xdr:rowOff>771525</xdr:rowOff>
                  </from>
                  <to>
                    <xdr:col>3</xdr:col>
                    <xdr:colOff>1238250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8" name="Option Button 35">
              <controlPr defaultSize="0" autoFill="0" autoLine="0" autoPict="0" macro="[0]!Sheet1.set_spanish">
                <anchor moveWithCells="1">
                  <from>
                    <xdr:col>3</xdr:col>
                    <xdr:colOff>581025</xdr:colOff>
                    <xdr:row>0</xdr:row>
                    <xdr:rowOff>952500</xdr:rowOff>
                  </from>
                  <to>
                    <xdr:col>3</xdr:col>
                    <xdr:colOff>981075</xdr:colOff>
                    <xdr:row>0</xdr:row>
                    <xdr:rowOff>1162050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99" name="Option Button 36">
              <controlPr defaultSize="0" autoFill="0" autoLine="0" autoPict="0" macro="[0]!Sheet1.set_avd">
                <anchor moveWithCells="1">
                  <from>
                    <xdr:col>2</xdr:col>
                    <xdr:colOff>5819775</xdr:colOff>
                    <xdr:row>0</xdr:row>
                    <xdr:rowOff>1038225</xdr:rowOff>
                  </from>
                  <to>
                    <xdr:col>3</xdr:col>
                    <xdr:colOff>561975</xdr:colOff>
                    <xdr:row>0</xdr:row>
                    <xdr:rowOff>1228725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1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1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65359F31-9B04-413B-9DCC-5629B6169AE2}">
          <x14:formula1>
            <xm:f>Values!$B$2:$B$5</xm:f>
          </x14:formula1>
          <xm:sqref>F5:F151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E8"/>
  <sheetViews>
    <sheetView workbookViewId="0">
      <selection activeCell="C1" sqref="C1"/>
    </sheetView>
  </sheetViews>
  <sheetFormatPr defaultRowHeight="14.25" x14ac:dyDescent="0.45"/>
  <cols>
    <col min="2" max="2" width="10" bestFit="1" customWidth="1"/>
  </cols>
  <sheetData>
    <row r="1" spans="1:5" x14ac:dyDescent="0.45">
      <c r="A1" s="14" t="s">
        <v>2</v>
      </c>
      <c r="B1" s="14" t="s">
        <v>3</v>
      </c>
      <c r="C1" s="14" t="s">
        <v>7</v>
      </c>
      <c r="D1" s="14" t="s">
        <v>12</v>
      </c>
      <c r="E1" s="14" t="s">
        <v>20</v>
      </c>
    </row>
    <row r="2" spans="1:5" x14ac:dyDescent="0.45">
      <c r="A2" t="s">
        <v>106</v>
      </c>
      <c r="B2" s="11" t="s">
        <v>100</v>
      </c>
      <c r="C2" t="s">
        <v>110</v>
      </c>
      <c r="D2" s="19" t="s">
        <v>16</v>
      </c>
      <c r="E2" s="19" t="s">
        <v>19</v>
      </c>
    </row>
    <row r="3" spans="1:5" x14ac:dyDescent="0.45">
      <c r="A3" t="s">
        <v>107</v>
      </c>
      <c r="B3" s="8" t="s">
        <v>101</v>
      </c>
      <c r="C3" t="s">
        <v>111</v>
      </c>
    </row>
    <row r="4" spans="1:5" x14ac:dyDescent="0.45">
      <c r="A4" t="s">
        <v>109</v>
      </c>
      <c r="B4" s="9" t="s">
        <v>102</v>
      </c>
      <c r="C4" t="s">
        <v>105</v>
      </c>
    </row>
    <row r="5" spans="1:5" x14ac:dyDescent="0.45">
      <c r="B5" s="10" t="s">
        <v>103</v>
      </c>
      <c r="C5" t="s">
        <v>113</v>
      </c>
    </row>
    <row r="6" spans="1:5" x14ac:dyDescent="0.45">
      <c r="B6" t="s">
        <v>104</v>
      </c>
      <c r="C6" t="s">
        <v>114</v>
      </c>
    </row>
    <row r="7" spans="1:5" x14ac:dyDescent="0.45">
      <c r="C7" t="s">
        <v>115</v>
      </c>
    </row>
    <row r="8" spans="1:5" x14ac:dyDescent="0.45">
      <c r="C8" t="s">
        <v>117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Ayobami Ayodeji</cp:lastModifiedBy>
  <cp:revision/>
  <dcterms:created xsi:type="dcterms:W3CDTF">2021-01-25T16:35:48Z</dcterms:created>
  <dcterms:modified xsi:type="dcterms:W3CDTF">2022-04-07T06:26:38Z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